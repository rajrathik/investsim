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Monthly Sim" sheetId="2" state="visible" r:id="rId2"/>
    <sheet name="Year Summary" sheetId="3" state="visible" r:id="rId3"/>
    <sheet name="Tax Impact" sheetId="4" state="visible" r:id="rId4"/>
    <sheet name="Annual 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00%"/>
    <numFmt numFmtId="166" formatCode="$#,##0.0000"/>
    <numFmt numFmtId="167" formatCode="#,##0.0000"/>
  </numFmts>
  <fonts count="12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b val="1"/>
      <color rgb="00475569"/>
      <sz val="10"/>
    </font>
    <font>
      <name val="Calibri"/>
      <color rgb="00334155"/>
      <sz val="10"/>
    </font>
    <font>
      <name val="Calibri"/>
      <b val="1"/>
      <color rgb="00FFFFFF"/>
      <sz val="11"/>
    </font>
    <font>
      <name val="Calibri"/>
      <color rgb="000F766E"/>
      <sz val="10"/>
    </font>
    <font>
      <name val="Calibri"/>
      <b val="1"/>
      <sz val="11"/>
    </font>
    <font>
      <name val="Calibri"/>
      <b val="1"/>
      <color rgb="00EF4444"/>
      <sz val="11"/>
    </font>
    <font>
      <b val="1"/>
      <sz val="11"/>
    </font>
    <font>
      <name val="Calibri"/>
      <i val="1"/>
      <color rgb="0064748B"/>
      <sz val="10"/>
    </font>
    <font>
      <name val="Calibri"/>
      <i val="1"/>
      <color rgb="0094A3B8"/>
      <sz val="9"/>
    </font>
    <font>
      <b val="1"/>
      <color rgb="0010B981"/>
      <sz val="11"/>
    </font>
  </fonts>
  <fills count="9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7F1D1D"/>
      </patternFill>
    </fill>
    <fill>
      <patternFill patternType="solid">
        <fgColor rgb="00F1F5F9"/>
      </patternFill>
    </fill>
    <fill>
      <patternFill patternType="solid">
        <fgColor rgb="00ECFDF5"/>
      </patternFill>
    </fill>
  </fills>
  <borders count="3">
    <border>
      <left/>
      <right/>
      <top/>
      <bottom/>
      <diagonal/>
    </border>
    <border>
      <top style="medium">
        <color rgb="001E293B"/>
      </top>
    </border>
    <border>
      <bottom style="thin">
        <color rgb="0010B98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3" fontId="3" fillId="2" borderId="0" pivotButton="0" quotePrefix="0" xfId="0"/>
    <xf numFmtId="10" fontId="3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wrapText="1"/>
    </xf>
    <xf numFmtId="0" fontId="3" fillId="4" borderId="0" pivotButton="0" quotePrefix="0" xfId="0"/>
    <xf numFmtId="165" fontId="3" fillId="4" borderId="0" pivotButton="0" quotePrefix="0" xfId="0"/>
    <xf numFmtId="164" fontId="3" fillId="4" borderId="0" pivotButton="0" quotePrefix="0" xfId="0"/>
    <xf numFmtId="166" fontId="3" fillId="4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0" fontId="4" fillId="5" borderId="0" applyAlignment="1" pivotButton="0" quotePrefix="0" xfId="0">
      <alignment horizontal="center" wrapText="1"/>
    </xf>
    <xf numFmtId="164" fontId="5" fillId="4" borderId="0" pivotButton="0" quotePrefix="0" xfId="0"/>
    <xf numFmtId="167" fontId="5" fillId="4" borderId="0" pivotButton="0" quotePrefix="0" xfId="0"/>
    <xf numFmtId="164" fontId="5" fillId="0" borderId="0" pivotButton="0" quotePrefix="0" xfId="0"/>
    <xf numFmtId="167" fontId="5" fillId="0" borderId="0" pivotButton="0" quotePrefix="0" xfId="0"/>
    <xf numFmtId="3" fontId="3" fillId="4" borderId="0" pivotButton="0" quotePrefix="0" xfId="0"/>
    <xf numFmtId="3" fontId="3" fillId="0" borderId="0" pivotButton="0" quotePrefix="0" xfId="0"/>
    <xf numFmtId="0" fontId="4" fillId="6" borderId="0" applyAlignment="1" pivotButton="0" quotePrefix="0" xfId="0">
      <alignment horizontal="center" wrapText="1"/>
    </xf>
    <xf numFmtId="0" fontId="6" fillId="0" borderId="1" pivotButton="0" quotePrefix="0" xfId="0"/>
    <xf numFmtId="164" fontId="7" fillId="0" borderId="1" pivotButton="0" quotePrefix="0" xfId="0"/>
    <xf numFmtId="3" fontId="8" fillId="8" borderId="2" pivotButton="0" quotePrefix="0" xfId="0"/>
    <xf numFmtId="164" fontId="5" fillId="8" borderId="2" pivotButton="0" quotePrefix="0" xfId="0"/>
    <xf numFmtId="10" fontId="11" fillId="8" borderId="2" pivotButton="0" quotePrefix="0" xfId="0"/>
    <xf numFmtId="0" fontId="3" fillId="7" borderId="0" pivotButton="0" quotePrefix="0" xfId="0"/>
    <xf numFmtId="0" fontId="9" fillId="7" borderId="0" pivotButton="0" quotePrefix="0" xfId="0"/>
    <xf numFmtId="164" fontId="5" fillId="7" borderId="0" pivotButton="0" quotePrefix="0" xfId="0"/>
    <xf numFmtId="0" fontId="0" fillId="7" borderId="0" pivotButton="0" quotePrefix="0" xfId="0"/>
    <xf numFmtId="0" fontId="10" fillId="7" borderId="0" pivotButton="0" quotePrefix="0" xfId="0"/>
    <xf numFmtId="1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B981"/>
    <outlinePr summaryBelow="1" summaryRight="1"/>
    <pageSetUpPr/>
  </sheetPr>
  <dimension ref="A1:Q77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0" customWidth="1" min="4" max="4"/>
    <col width="15" customWidth="1" min="5" max="5"/>
    <col width="20" customWidth="1" min="6" max="6"/>
    <col width="20" customWidth="1" min="7" max="7"/>
    <col width="15" customWidth="1" min="8" max="8"/>
    <col width="20" customWidth="1" min="9" max="9"/>
    <col width="20" customWidth="1" min="10" max="10"/>
    <col width="15" customWidth="1" min="11" max="11"/>
    <col width="20" customWidth="1" min="12" max="12"/>
    <col width="20" customWidth="1" min="13" max="13"/>
    <col width="15" customWidth="1" min="14" max="14"/>
    <col width="19" customWidth="1" min="15" max="15"/>
    <col width="19" customWidth="1" min="16" max="16"/>
    <col width="15" customWidth="1" min="17" max="17"/>
  </cols>
  <sheetData>
    <row r="1">
      <c r="A1" s="1" t="inlineStr">
        <is>
          <t>Portfolio Simulator — Test Spreadsheet</t>
        </is>
      </c>
    </row>
    <row r="2"/>
    <row r="3">
      <c r="A3" s="2" t="inlineStr">
        <is>
          <t>Monthly Investment</t>
        </is>
      </c>
      <c r="B3" s="3" t="n">
        <v>2000</v>
      </c>
    </row>
    <row r="4">
      <c r="A4" s="2" t="inlineStr">
        <is>
          <t>Investment Years</t>
        </is>
      </c>
      <c r="B4" s="4" t="n">
        <v>5</v>
      </c>
    </row>
    <row r="5">
      <c r="A5" s="2" t="inlineStr">
        <is>
          <t>Tax Rate</t>
        </is>
      </c>
      <c r="B5" s="5" t="n">
        <v>0.25</v>
      </c>
    </row>
    <row r="6">
      <c r="A6" s="2" t="inlineStr">
        <is>
          <t>Total Months</t>
        </is>
      </c>
      <c r="B6" s="4" t="n">
        <v>61</v>
      </c>
    </row>
    <row r="7"/>
    <row r="8">
      <c r="A8" s="2" t="inlineStr">
        <is>
          <t>Ticker</t>
        </is>
      </c>
      <c r="B8" s="2" t="inlineStr">
        <is>
          <t>Name</t>
        </is>
      </c>
      <c r="C8" s="2" t="inlineStr">
        <is>
          <t>Allocation %</t>
        </is>
      </c>
    </row>
    <row r="9">
      <c r="A9" s="6" t="inlineStr">
        <is>
          <t>XLK</t>
        </is>
      </c>
      <c r="B9" s="6" t="inlineStr">
        <is>
          <t>Information Technology</t>
        </is>
      </c>
      <c r="C9" s="5" t="n">
        <v>0.3</v>
      </c>
    </row>
    <row r="10">
      <c r="A10" s="6" t="inlineStr">
        <is>
          <t>XLV</t>
        </is>
      </c>
      <c r="B10" s="6" t="inlineStr">
        <is>
          <t>Health Care</t>
        </is>
      </c>
      <c r="C10" s="5" t="n">
        <v>0.2</v>
      </c>
    </row>
    <row r="11">
      <c r="A11" s="6" t="inlineStr">
        <is>
          <t>XLF</t>
        </is>
      </c>
      <c r="B11" s="6" t="inlineStr">
        <is>
          <t>Financials</t>
        </is>
      </c>
      <c r="C11" s="5" t="n">
        <v>0.2</v>
      </c>
    </row>
    <row r="12">
      <c r="A12" s="6" t="inlineStr">
        <is>
          <t>XLE</t>
        </is>
      </c>
      <c r="B12" s="6" t="inlineStr">
        <is>
          <t>Energy</t>
        </is>
      </c>
      <c r="C12" s="5" t="n">
        <v>0.15</v>
      </c>
    </row>
    <row r="13">
      <c r="A13" s="6" t="inlineStr">
        <is>
          <t>XLP</t>
        </is>
      </c>
      <c r="B13" s="6" t="inlineStr">
        <is>
          <t>Consumer Staples</t>
        </is>
      </c>
      <c r="C13" s="5" t="n">
        <v>0.15</v>
      </c>
    </row>
    <row r="14"/>
    <row r="15"/>
    <row r="16">
      <c r="A16" s="7" t="inlineStr">
        <is>
          <t>Month</t>
        </is>
      </c>
      <c r="B16" s="7" t="inlineStr">
        <is>
          <t>MM Rate</t>
        </is>
      </c>
      <c r="C16" s="7" t="inlineStr">
        <is>
          <t>XLK High</t>
        </is>
      </c>
      <c r="D16" s="7" t="inlineStr">
        <is>
          <t>XLK Close</t>
        </is>
      </c>
      <c r="E16" s="7" t="inlineStr">
        <is>
          <t>XLK Div/Share</t>
        </is>
      </c>
      <c r="F16" s="7" t="inlineStr">
        <is>
          <t>XLV High</t>
        </is>
      </c>
      <c r="G16" s="7" t="inlineStr">
        <is>
          <t>XLV Close</t>
        </is>
      </c>
      <c r="H16" s="7" t="inlineStr">
        <is>
          <t>XLV Div/Share</t>
        </is>
      </c>
      <c r="I16" s="7" t="inlineStr">
        <is>
          <t>XLF High</t>
        </is>
      </c>
      <c r="J16" s="7" t="inlineStr">
        <is>
          <t>XLF Close</t>
        </is>
      </c>
      <c r="K16" s="7" t="inlineStr">
        <is>
          <t>XLF Div/Share</t>
        </is>
      </c>
      <c r="L16" s="7" t="inlineStr">
        <is>
          <t>XLE High</t>
        </is>
      </c>
      <c r="M16" s="7" t="inlineStr">
        <is>
          <t>XLE Close</t>
        </is>
      </c>
      <c r="N16" s="7" t="inlineStr">
        <is>
          <t>XLE Div/Share</t>
        </is>
      </c>
      <c r="O16" s="7" t="inlineStr">
        <is>
          <t>XLP High</t>
        </is>
      </c>
      <c r="P16" s="7" t="inlineStr">
        <is>
          <t>XLP Close</t>
        </is>
      </c>
      <c r="Q16" s="7" t="inlineStr">
        <is>
          <t>XLP Div/Share</t>
        </is>
      </c>
    </row>
    <row r="17">
      <c r="A17" s="8" t="inlineStr">
        <is>
          <t>Feb 2021</t>
        </is>
      </c>
      <c r="B17" s="9" t="n">
        <v>0.0008</v>
      </c>
      <c r="C17" s="10" t="n">
        <v>69.62000274658203</v>
      </c>
      <c r="D17" s="10" t="n">
        <v>65.34500122070312</v>
      </c>
      <c r="E17" s="11" t="n">
        <v>0</v>
      </c>
      <c r="F17" s="10" t="n">
        <v>117.5400009155273</v>
      </c>
      <c r="G17" s="10" t="n">
        <v>112.6100006103516</v>
      </c>
      <c r="H17" s="11" t="n">
        <v>0</v>
      </c>
      <c r="I17" s="10" t="n">
        <v>33.84000015258789</v>
      </c>
      <c r="J17" s="10" t="n">
        <v>32.31000137329102</v>
      </c>
      <c r="K17" s="11" t="n">
        <v>0</v>
      </c>
      <c r="L17" s="10" t="n">
        <v>25.40500068664551</v>
      </c>
      <c r="M17" s="10" t="n">
        <v>24.07500076293945</v>
      </c>
      <c r="N17" s="11" t="n">
        <v>0</v>
      </c>
      <c r="O17" s="10" t="n">
        <v>66.41000366210938</v>
      </c>
      <c r="P17" s="10" t="n">
        <v>63.29999923706055</v>
      </c>
      <c r="Q17" s="11" t="n">
        <v>0</v>
      </c>
    </row>
    <row r="18">
      <c r="A18" s="6" t="inlineStr">
        <is>
          <t>Mar 2021</t>
        </is>
      </c>
      <c r="B18" s="12" t="n">
        <v>0.0007000000000000001</v>
      </c>
      <c r="C18" s="13" t="n">
        <v>67.58999633789062</v>
      </c>
      <c r="D18" s="13" t="n">
        <v>66.40499877929688</v>
      </c>
      <c r="E18" s="14" t="n">
        <v>0.1365</v>
      </c>
      <c r="F18" s="13" t="n">
        <v>117.9700012207031</v>
      </c>
      <c r="G18" s="13" t="n">
        <v>116.7399978637695</v>
      </c>
      <c r="H18" s="14" t="n">
        <v>0.398</v>
      </c>
      <c r="I18" s="13" t="n">
        <v>35.29000091552734</v>
      </c>
      <c r="J18" s="13" t="n">
        <v>34.04999923706055</v>
      </c>
      <c r="K18" s="14" t="n">
        <v>0.151</v>
      </c>
      <c r="L18" s="13" t="n">
        <v>27.18499946594238</v>
      </c>
      <c r="M18" s="13" t="n">
        <v>24.53000068664551</v>
      </c>
      <c r="N18" s="14" t="n">
        <v>0.26</v>
      </c>
      <c r="O18" s="13" t="n">
        <v>69.33000183105469</v>
      </c>
      <c r="P18" s="13" t="n">
        <v>68.30999755859375</v>
      </c>
      <c r="Q18" s="14" t="n">
        <v>0.357</v>
      </c>
    </row>
    <row r="19">
      <c r="A19" s="8" t="inlineStr">
        <is>
          <t>Apr 2021</t>
        </is>
      </c>
      <c r="B19" s="9" t="n">
        <v>0.0007000000000000001</v>
      </c>
      <c r="C19" s="10" t="n">
        <v>71.88500213623047</v>
      </c>
      <c r="D19" s="10" t="n">
        <v>69.84999847412109</v>
      </c>
      <c r="E19" s="11" t="n">
        <v>0</v>
      </c>
      <c r="F19" s="10" t="n">
        <v>123.9599990844727</v>
      </c>
      <c r="G19" s="10" t="n">
        <v>121.3300018310547</v>
      </c>
      <c r="H19" s="11" t="n">
        <v>0</v>
      </c>
      <c r="I19" s="10" t="n">
        <v>36.61000061035156</v>
      </c>
      <c r="J19" s="10" t="n">
        <v>36.2599983215332</v>
      </c>
      <c r="K19" s="11" t="n">
        <v>0</v>
      </c>
      <c r="L19" s="10" t="n">
        <v>25.64500045776367</v>
      </c>
      <c r="M19" s="10" t="n">
        <v>24.69499969482422</v>
      </c>
      <c r="N19" s="11" t="n">
        <v>0</v>
      </c>
      <c r="O19" s="10" t="n">
        <v>70.47000122070312</v>
      </c>
      <c r="P19" s="10" t="n">
        <v>69.58000183105469</v>
      </c>
      <c r="Q19" s="11" t="n">
        <v>0</v>
      </c>
    </row>
    <row r="20">
      <c r="A20" s="6" t="inlineStr">
        <is>
          <t>May 2021</t>
        </is>
      </c>
      <c r="B20" s="12" t="n">
        <v>0.0005999999999999999</v>
      </c>
      <c r="C20" s="13" t="n">
        <v>70.36499786376953</v>
      </c>
      <c r="D20" s="13" t="n">
        <v>69.19999694824219</v>
      </c>
      <c r="E20" s="14" t="n">
        <v>0</v>
      </c>
      <c r="F20" s="13" t="n">
        <v>125.6600036621094</v>
      </c>
      <c r="G20" s="13" t="n">
        <v>123.5999984741211</v>
      </c>
      <c r="H20" s="14" t="n">
        <v>0</v>
      </c>
      <c r="I20" s="13" t="n">
        <v>38.2599983215332</v>
      </c>
      <c r="J20" s="13" t="n">
        <v>37.9900016784668</v>
      </c>
      <c r="K20" s="14" t="n">
        <v>0</v>
      </c>
      <c r="L20" s="13" t="n">
        <v>27.56999969482422</v>
      </c>
      <c r="M20" s="13" t="n">
        <v>26.10499954223633</v>
      </c>
      <c r="N20" s="14" t="n">
        <v>0</v>
      </c>
      <c r="O20" s="13" t="n">
        <v>71.63999938964844</v>
      </c>
      <c r="P20" s="13" t="n">
        <v>70.80999755859375</v>
      </c>
      <c r="Q20" s="14" t="n">
        <v>0</v>
      </c>
    </row>
    <row r="21">
      <c r="A21" s="8" t="inlineStr">
        <is>
          <t>Jun 2021</t>
        </is>
      </c>
      <c r="B21" s="9" t="n">
        <v>0.0008</v>
      </c>
      <c r="C21" s="10" t="n">
        <v>74.01000213623047</v>
      </c>
      <c r="D21" s="10" t="n">
        <v>73.83000183105469</v>
      </c>
      <c r="E21" s="11" t="n">
        <v>0.13</v>
      </c>
      <c r="F21" s="10" t="n">
        <v>126.4199981689453</v>
      </c>
      <c r="G21" s="10" t="n">
        <v>125.9499969482422</v>
      </c>
      <c r="H21" s="11" t="n">
        <v>0.481</v>
      </c>
      <c r="I21" s="10" t="n">
        <v>38.59999847412109</v>
      </c>
      <c r="J21" s="10" t="n">
        <v>36.68999862670898</v>
      </c>
      <c r="K21" s="11" t="n">
        <v>0.139</v>
      </c>
      <c r="L21" s="10" t="n">
        <v>28.32500076293945</v>
      </c>
      <c r="M21" s="10" t="n">
        <v>26.93499946594238</v>
      </c>
      <c r="N21" s="11" t="n">
        <v>0.265</v>
      </c>
      <c r="O21" s="10" t="n">
        <v>71.69000244140625</v>
      </c>
      <c r="P21" s="10" t="n">
        <v>69.97000122070312</v>
      </c>
      <c r="Q21" s="11" t="n">
        <v>0.444</v>
      </c>
    </row>
    <row r="22">
      <c r="A22" s="6" t="inlineStr">
        <is>
          <t>Jul 2021</t>
        </is>
      </c>
      <c r="B22" s="12" t="n">
        <v>0.001</v>
      </c>
      <c r="C22" s="13" t="n">
        <v>77.36000061035156</v>
      </c>
      <c r="D22" s="13" t="n">
        <v>76.69999694824219</v>
      </c>
      <c r="E22" s="14" t="n">
        <v>0</v>
      </c>
      <c r="F22" s="13" t="n">
        <v>132.6399993896484</v>
      </c>
      <c r="G22" s="13" t="n">
        <v>132.1499938964844</v>
      </c>
      <c r="H22" s="14" t="n">
        <v>0</v>
      </c>
      <c r="I22" s="13" t="n">
        <v>37.13999938964844</v>
      </c>
      <c r="J22" s="13" t="n">
        <v>36.52000045776367</v>
      </c>
      <c r="K22" s="14" t="n">
        <v>0</v>
      </c>
      <c r="L22" s="13" t="n">
        <v>27.63500022888184</v>
      </c>
      <c r="M22" s="13" t="n">
        <v>24.69499969482422</v>
      </c>
      <c r="N22" s="14" t="n">
        <v>0</v>
      </c>
      <c r="O22" s="13" t="n">
        <v>71.98000335693359</v>
      </c>
      <c r="P22" s="13" t="n">
        <v>71.51000213623047</v>
      </c>
      <c r="Q22" s="14" t="n">
        <v>0</v>
      </c>
    </row>
    <row r="23">
      <c r="A23" s="8" t="inlineStr">
        <is>
          <t>Aug 2021</t>
        </is>
      </c>
      <c r="B23" s="9" t="n">
        <v>0.0009</v>
      </c>
      <c r="C23" s="10" t="n">
        <v>79.94499969482422</v>
      </c>
      <c r="D23" s="10" t="n">
        <v>79.43000030517578</v>
      </c>
      <c r="E23" s="11" t="n">
        <v>0</v>
      </c>
      <c r="F23" s="10" t="n">
        <v>136.9799957275391</v>
      </c>
      <c r="G23" s="10" t="n">
        <v>135.2100067138672</v>
      </c>
      <c r="H23" s="11" t="n">
        <v>0</v>
      </c>
      <c r="I23" s="10" t="n">
        <v>39.04000091552734</v>
      </c>
      <c r="J23" s="10" t="n">
        <v>38.40000152587891</v>
      </c>
      <c r="K23" s="11" t="n">
        <v>0</v>
      </c>
      <c r="L23" s="10" t="n">
        <v>25.30999946594238</v>
      </c>
      <c r="M23" s="10" t="n">
        <v>24.20000076293945</v>
      </c>
      <c r="N23" s="11" t="n">
        <v>0</v>
      </c>
      <c r="O23" s="10" t="n">
        <v>73.25</v>
      </c>
      <c r="P23" s="10" t="n">
        <v>72.26000213623047</v>
      </c>
      <c r="Q23" s="11" t="n">
        <v>0</v>
      </c>
    </row>
    <row r="24">
      <c r="A24" s="6" t="inlineStr">
        <is>
          <t>Sep 2021</t>
        </is>
      </c>
      <c r="B24" s="12" t="n">
        <v>0.0008</v>
      </c>
      <c r="C24" s="13" t="n">
        <v>80.06500244140625</v>
      </c>
      <c r="D24" s="13" t="n">
        <v>74.66000366210938</v>
      </c>
      <c r="E24" s="14" t="n">
        <v>0.1365</v>
      </c>
      <c r="F24" s="13" t="n">
        <v>137.0399932861328</v>
      </c>
      <c r="G24" s="13" t="n">
        <v>127.3000030517578</v>
      </c>
      <c r="H24" s="14" t="n">
        <v>0.467</v>
      </c>
      <c r="I24" s="13" t="n">
        <v>38.91999816894531</v>
      </c>
      <c r="J24" s="13" t="n">
        <v>37.52999877929688</v>
      </c>
      <c r="K24" s="14" t="n">
        <v>0.162</v>
      </c>
      <c r="L24" s="13" t="n">
        <v>26.91500091552734</v>
      </c>
      <c r="M24" s="13" t="n">
        <v>26.04500007629395</v>
      </c>
      <c r="N24" s="14" t="n">
        <v>0.296</v>
      </c>
      <c r="O24" s="13" t="n">
        <v>73.04000091552734</v>
      </c>
      <c r="P24" s="13" t="n">
        <v>68.83999633789062</v>
      </c>
      <c r="Q24" s="14" t="n">
        <v>0.442</v>
      </c>
    </row>
    <row r="25">
      <c r="A25" s="8" t="inlineStr">
        <is>
          <t>Oct 2021</t>
        </is>
      </c>
      <c r="B25" s="9" t="n">
        <v>0.0008</v>
      </c>
      <c r="C25" s="10" t="n">
        <v>80.81500244140625</v>
      </c>
      <c r="D25" s="10" t="n">
        <v>80.76499938964844</v>
      </c>
      <c r="E25" s="11" t="n">
        <v>0</v>
      </c>
      <c r="F25" s="10" t="n">
        <v>133.9900054931641</v>
      </c>
      <c r="G25" s="10" t="n">
        <v>133.8200073242188</v>
      </c>
      <c r="H25" s="11" t="n">
        <v>0</v>
      </c>
      <c r="I25" s="10" t="n">
        <v>40.86000061035156</v>
      </c>
      <c r="J25" s="10" t="n">
        <v>40.2599983215332</v>
      </c>
      <c r="K25" s="11" t="n">
        <v>0</v>
      </c>
      <c r="L25" s="10" t="n">
        <v>29.70499992370605</v>
      </c>
      <c r="M25" s="10" t="n">
        <v>28.73500061035156</v>
      </c>
      <c r="N25" s="11" t="n">
        <v>0</v>
      </c>
      <c r="O25" s="10" t="n">
        <v>71.91000366210938</v>
      </c>
      <c r="P25" s="10" t="n">
        <v>71.25</v>
      </c>
      <c r="Q25" s="11" t="n">
        <v>0</v>
      </c>
    </row>
    <row r="26">
      <c r="A26" s="6" t="inlineStr">
        <is>
          <t>Nov 2021</t>
        </is>
      </c>
      <c r="B26" s="12" t="n">
        <v>0.0008</v>
      </c>
      <c r="C26" s="13" t="n">
        <v>87.125</v>
      </c>
      <c r="D26" s="13" t="n">
        <v>84.36000061035156</v>
      </c>
      <c r="E26" s="14" t="n">
        <v>0</v>
      </c>
      <c r="F26" s="13" t="n">
        <v>135.3399963378906</v>
      </c>
      <c r="G26" s="13" t="n">
        <v>129.7299957275391</v>
      </c>
      <c r="H26" s="14" t="n">
        <v>0</v>
      </c>
      <c r="I26" s="13" t="n">
        <v>40.68000030517578</v>
      </c>
      <c r="J26" s="13" t="n">
        <v>37.95999908447266</v>
      </c>
      <c r="K26" s="14" t="n">
        <v>0</v>
      </c>
      <c r="L26" s="13" t="n">
        <v>29.70000076293945</v>
      </c>
      <c r="M26" s="13" t="n">
        <v>27.29500007629395</v>
      </c>
      <c r="N26" s="14" t="n">
        <v>0</v>
      </c>
      <c r="O26" s="13" t="n">
        <v>73.37999725341797</v>
      </c>
      <c r="P26" s="13" t="n">
        <v>70.29000091552734</v>
      </c>
      <c r="Q26" s="14" t="n">
        <v>0</v>
      </c>
    </row>
    <row r="27">
      <c r="A27" s="8" t="inlineStr">
        <is>
          <t>Dec 2021</t>
        </is>
      </c>
      <c r="B27" s="9" t="n">
        <v>0.0008</v>
      </c>
      <c r="C27" s="10" t="n">
        <v>88.51999664306641</v>
      </c>
      <c r="D27" s="10" t="n">
        <v>86.93499755859375</v>
      </c>
      <c r="E27" s="11" t="n">
        <v>0.1585</v>
      </c>
      <c r="F27" s="10" t="n">
        <v>141.9799957275391</v>
      </c>
      <c r="G27" s="10" t="n">
        <v>140.8899993896484</v>
      </c>
      <c r="H27" s="11" t="n">
        <v>0.528</v>
      </c>
      <c r="I27" s="10" t="n">
        <v>39.7400016784668</v>
      </c>
      <c r="J27" s="10" t="n">
        <v>39.04999923706055</v>
      </c>
      <c r="K27" s="11" t="n">
        <v>0.184</v>
      </c>
      <c r="L27" s="10" t="n">
        <v>28.93499946594238</v>
      </c>
      <c r="M27" s="10" t="n">
        <v>27.75</v>
      </c>
      <c r="N27" s="11" t="n">
        <v>0.3475</v>
      </c>
      <c r="O27" s="10" t="n">
        <v>77.23000335693359</v>
      </c>
      <c r="P27" s="10" t="n">
        <v>77.11000061035156</v>
      </c>
      <c r="Q27" s="11" t="n">
        <v>0.512</v>
      </c>
    </row>
    <row r="28">
      <c r="A28" s="6" t="inlineStr">
        <is>
          <t>Jan 2022</t>
        </is>
      </c>
      <c r="B28" s="12" t="n">
        <v>0.0008</v>
      </c>
      <c r="C28" s="13" t="n">
        <v>88</v>
      </c>
      <c r="D28" s="13" t="n">
        <v>80.98500061035156</v>
      </c>
      <c r="E28" s="14" t="n">
        <v>0</v>
      </c>
      <c r="F28" s="13" t="n">
        <v>140.5500030517578</v>
      </c>
      <c r="G28" s="13" t="n">
        <v>131.2299957275391</v>
      </c>
      <c r="H28" s="14" t="n">
        <v>0</v>
      </c>
      <c r="I28" s="13" t="n">
        <v>41.70000076293945</v>
      </c>
      <c r="J28" s="13" t="n">
        <v>39.06000137329102</v>
      </c>
      <c r="K28" s="14" t="n">
        <v>0</v>
      </c>
      <c r="L28" s="13" t="n">
        <v>33.52999877929688</v>
      </c>
      <c r="M28" s="13" t="n">
        <v>32.95999908447266</v>
      </c>
      <c r="N28" s="14" t="n">
        <v>0</v>
      </c>
      <c r="O28" s="13" t="n">
        <v>78.18000030517578</v>
      </c>
      <c r="P28" s="13" t="n">
        <v>75.97000122070312</v>
      </c>
      <c r="Q28" s="14" t="n">
        <v>0</v>
      </c>
    </row>
    <row r="29">
      <c r="A29" s="8" t="inlineStr">
        <is>
          <t>Feb 2022</t>
        </is>
      </c>
      <c r="B29" s="9" t="n">
        <v>0.0008</v>
      </c>
      <c r="C29" s="10" t="n">
        <v>82.05500030517578</v>
      </c>
      <c r="D29" s="10" t="n">
        <v>77.03500366210938</v>
      </c>
      <c r="E29" s="11" t="n">
        <v>0</v>
      </c>
      <c r="F29" s="10" t="n">
        <v>134.4600067138672</v>
      </c>
      <c r="G29" s="10" t="n">
        <v>129.9600067138672</v>
      </c>
      <c r="H29" s="11" t="n">
        <v>0</v>
      </c>
      <c r="I29" s="10" t="n">
        <v>41.38999938964844</v>
      </c>
      <c r="J29" s="10" t="n">
        <v>38.52000045776367</v>
      </c>
      <c r="K29" s="11" t="n">
        <v>0</v>
      </c>
      <c r="L29" s="10" t="n">
        <v>35.33000183105469</v>
      </c>
      <c r="M29" s="10" t="n">
        <v>35.29000091552734</v>
      </c>
      <c r="N29" s="11" t="n">
        <v>0</v>
      </c>
      <c r="O29" s="10" t="n">
        <v>77.20999908447266</v>
      </c>
      <c r="P29" s="10" t="n">
        <v>74.90000152587891</v>
      </c>
      <c r="Q29" s="11" t="n">
        <v>0</v>
      </c>
    </row>
    <row r="30">
      <c r="A30" s="6" t="inlineStr">
        <is>
          <t>Mar 2022</t>
        </is>
      </c>
      <c r="B30" s="12" t="n">
        <v>0.002</v>
      </c>
      <c r="C30" s="13" t="n">
        <v>81.82499694824219</v>
      </c>
      <c r="D30" s="13" t="n">
        <v>79.46499633789062</v>
      </c>
      <c r="E30" s="14" t="n">
        <v>0.143</v>
      </c>
      <c r="F30" s="13" t="n">
        <v>138.9499969482422</v>
      </c>
      <c r="G30" s="13" t="n">
        <v>136.9900054931641</v>
      </c>
      <c r="H30" s="14" t="n">
        <v>0.426</v>
      </c>
      <c r="I30" s="13" t="n">
        <v>40.0099983215332</v>
      </c>
      <c r="J30" s="13" t="n">
        <v>38.31999969482422</v>
      </c>
      <c r="K30" s="14" t="n">
        <v>0.152</v>
      </c>
      <c r="L30" s="13" t="n">
        <v>40.11000061035156</v>
      </c>
      <c r="M30" s="13" t="n">
        <v>38.22000122070312</v>
      </c>
      <c r="N30" s="14" t="n">
        <v>0.35</v>
      </c>
      <c r="O30" s="13" t="n">
        <v>76.34999847412109</v>
      </c>
      <c r="P30" s="13" t="n">
        <v>75.88999938964844</v>
      </c>
      <c r="Q30" s="14" t="n">
        <v>0.335</v>
      </c>
    </row>
    <row r="31">
      <c r="A31" s="8" t="inlineStr">
        <is>
          <t>Apr 2022</t>
        </is>
      </c>
      <c r="B31" s="9" t="n">
        <v>0.0033</v>
      </c>
      <c r="C31" s="10" t="n">
        <v>80.77500152587891</v>
      </c>
      <c r="D31" s="10" t="n">
        <v>70.70999908447266</v>
      </c>
      <c r="E31" s="11" t="n">
        <v>0</v>
      </c>
      <c r="F31" s="10" t="n">
        <v>143.4199981689453</v>
      </c>
      <c r="G31" s="10" t="n">
        <v>130.2899932861328</v>
      </c>
      <c r="H31" s="11" t="n">
        <v>0</v>
      </c>
      <c r="I31" s="10" t="n">
        <v>38.65999984741211</v>
      </c>
      <c r="J31" s="10" t="n">
        <v>34.5099983215332</v>
      </c>
      <c r="K31" s="11" t="n">
        <v>0</v>
      </c>
      <c r="L31" s="10" t="n">
        <v>40.75500106811523</v>
      </c>
      <c r="M31" s="10" t="n">
        <v>37.57500076293945</v>
      </c>
      <c r="N31" s="11" t="n">
        <v>0</v>
      </c>
      <c r="O31" s="10" t="n">
        <v>81.33999633789062</v>
      </c>
      <c r="P31" s="10" t="n">
        <v>77.63999938964844</v>
      </c>
      <c r="Q31" s="11" t="n">
        <v>0</v>
      </c>
    </row>
    <row r="32">
      <c r="A32" s="6" t="inlineStr">
        <is>
          <t>May 2022</t>
        </is>
      </c>
      <c r="B32" s="12" t="n">
        <v>0.0077</v>
      </c>
      <c r="C32" s="13" t="n">
        <v>74.56999969482422</v>
      </c>
      <c r="D32" s="13" t="n">
        <v>70.22499847412109</v>
      </c>
      <c r="E32" s="14" t="n">
        <v>0</v>
      </c>
      <c r="F32" s="13" t="n">
        <v>134.0500030517578</v>
      </c>
      <c r="G32" s="13" t="n">
        <v>132.2299957275391</v>
      </c>
      <c r="H32" s="14" t="n">
        <v>0</v>
      </c>
      <c r="I32" s="13" t="n">
        <v>36.09999847412109</v>
      </c>
      <c r="J32" s="13" t="n">
        <v>35.47000122070312</v>
      </c>
      <c r="K32" s="14" t="n">
        <v>0</v>
      </c>
      <c r="L32" s="13" t="n">
        <v>45.22999954223633</v>
      </c>
      <c r="M32" s="13" t="n">
        <v>43.59999847412109</v>
      </c>
      <c r="N32" s="14" t="n">
        <v>0</v>
      </c>
      <c r="O32" s="13" t="n">
        <v>78.29000091552734</v>
      </c>
      <c r="P32" s="13" t="n">
        <v>74.47000122070312</v>
      </c>
      <c r="Q32" s="14" t="n">
        <v>0</v>
      </c>
    </row>
    <row r="33">
      <c r="A33" s="8" t="inlineStr">
        <is>
          <t>Jun 2022</t>
        </is>
      </c>
      <c r="B33" s="9" t="n">
        <v>0.0121</v>
      </c>
      <c r="C33" s="10" t="n">
        <v>71.71499633789062</v>
      </c>
      <c r="D33" s="10" t="n">
        <v>63.56000137329102</v>
      </c>
      <c r="E33" s="11" t="n">
        <v>0.1615</v>
      </c>
      <c r="F33" s="10" t="n">
        <v>132.7299957275391</v>
      </c>
      <c r="G33" s="10" t="n">
        <v>128.2400054931641</v>
      </c>
      <c r="H33" s="11" t="n">
        <v>0.504</v>
      </c>
      <c r="I33" s="10" t="n">
        <v>35.52000045776367</v>
      </c>
      <c r="J33" s="10" t="n">
        <v>31.45000076293945</v>
      </c>
      <c r="K33" s="11" t="n">
        <v>0.164</v>
      </c>
      <c r="L33" s="10" t="n">
        <v>46.65499877929688</v>
      </c>
      <c r="M33" s="10" t="n">
        <v>35.75500106811523</v>
      </c>
      <c r="N33" s="11" t="n">
        <v>0.4075</v>
      </c>
      <c r="O33" s="10" t="n">
        <v>74.62999725341797</v>
      </c>
      <c r="P33" s="10" t="n">
        <v>72.18000030517578</v>
      </c>
      <c r="Q33" s="11" t="n">
        <v>0.513</v>
      </c>
    </row>
    <row r="34">
      <c r="A34" s="6" t="inlineStr">
        <is>
          <t>Jul 2022</t>
        </is>
      </c>
      <c r="B34" s="12" t="n">
        <v>0.0168</v>
      </c>
      <c r="C34" s="13" t="n">
        <v>72.33499908447266</v>
      </c>
      <c r="D34" s="13" t="n">
        <v>72.11000061035156</v>
      </c>
      <c r="E34" s="14" t="n">
        <v>0</v>
      </c>
      <c r="F34" s="13" t="n">
        <v>133.8099975585938</v>
      </c>
      <c r="G34" s="13" t="n">
        <v>132.3999938964844</v>
      </c>
      <c r="H34" s="14" t="n">
        <v>0</v>
      </c>
      <c r="I34" s="13" t="n">
        <v>33.81999969482422</v>
      </c>
      <c r="J34" s="13" t="n">
        <v>33.70999908447266</v>
      </c>
      <c r="K34" s="14" t="n">
        <v>0</v>
      </c>
      <c r="L34" s="13" t="n">
        <v>39.33000183105469</v>
      </c>
      <c r="M34" s="13" t="n">
        <v>39.20999908447266</v>
      </c>
      <c r="N34" s="14" t="n">
        <v>0</v>
      </c>
      <c r="O34" s="13" t="n">
        <v>75.22000122070312</v>
      </c>
      <c r="P34" s="13" t="n">
        <v>74.48999786376953</v>
      </c>
      <c r="Q34" s="14" t="n">
        <v>0</v>
      </c>
    </row>
    <row r="35">
      <c r="A35" s="8" t="inlineStr">
        <is>
          <t>Aug 2022</t>
        </is>
      </c>
      <c r="B35" s="9" t="n">
        <v>0.0233</v>
      </c>
      <c r="C35" s="10" t="n">
        <v>75.93000030517578</v>
      </c>
      <c r="D35" s="10" t="n">
        <v>67.62999725341797</v>
      </c>
      <c r="E35" s="11" t="n">
        <v>0</v>
      </c>
      <c r="F35" s="10" t="n">
        <v>134.4700012207031</v>
      </c>
      <c r="G35" s="10" t="n">
        <v>124.7600021362305</v>
      </c>
      <c r="H35" s="11" t="n">
        <v>0</v>
      </c>
      <c r="I35" s="10" t="n">
        <v>35.97000122070312</v>
      </c>
      <c r="J35" s="10" t="n">
        <v>33.04999923706055</v>
      </c>
      <c r="K35" s="11" t="n">
        <v>0</v>
      </c>
      <c r="L35" s="10" t="n">
        <v>42.59000015258789</v>
      </c>
      <c r="M35" s="10" t="n">
        <v>40.25</v>
      </c>
      <c r="N35" s="11" t="n">
        <v>0</v>
      </c>
      <c r="O35" s="10" t="n">
        <v>77.40000152587891</v>
      </c>
      <c r="P35" s="10" t="n">
        <v>73.11000061035156</v>
      </c>
      <c r="Q35" s="11" t="n">
        <v>0</v>
      </c>
    </row>
    <row r="36">
      <c r="A36" s="6" t="inlineStr">
        <is>
          <t>Sep 2022</t>
        </is>
      </c>
      <c r="B36" s="12" t="n">
        <v>0.0256</v>
      </c>
      <c r="C36" s="13" t="n">
        <v>69.73000335693359</v>
      </c>
      <c r="D36" s="13" t="n">
        <v>59.38999938964844</v>
      </c>
      <c r="E36" s="14" t="n">
        <v>0.1585</v>
      </c>
      <c r="F36" s="13" t="n">
        <v>132.0500030517578</v>
      </c>
      <c r="G36" s="13" t="n">
        <v>121.1100006103516</v>
      </c>
      <c r="H36" s="14" t="n">
        <v>0.506</v>
      </c>
      <c r="I36" s="13" t="n">
        <v>34.81999969482422</v>
      </c>
      <c r="J36" s="13" t="n">
        <v>30.36000061035156</v>
      </c>
      <c r="K36" s="14" t="n">
        <v>0.173</v>
      </c>
      <c r="L36" s="13" t="n">
        <v>41.48500061035156</v>
      </c>
      <c r="M36" s="13" t="n">
        <v>36.0099983215332</v>
      </c>
      <c r="N36" s="14" t="n">
        <v>0.423</v>
      </c>
      <c r="O36" s="13" t="n">
        <v>74.51999664306641</v>
      </c>
      <c r="P36" s="13" t="n">
        <v>66.73000335693359</v>
      </c>
      <c r="Q36" s="14" t="n">
        <v>0.461</v>
      </c>
    </row>
    <row r="37">
      <c r="A37" s="8" t="inlineStr">
        <is>
          <t>Oct 2022</t>
        </is>
      </c>
      <c r="B37" s="9" t="n">
        <v>0.0308</v>
      </c>
      <c r="C37" s="10" t="n">
        <v>64.92500305175781</v>
      </c>
      <c r="D37" s="10" t="n">
        <v>63.93500137329102</v>
      </c>
      <c r="E37" s="11" t="n">
        <v>0</v>
      </c>
      <c r="F37" s="10" t="n">
        <v>133.2700042724609</v>
      </c>
      <c r="G37" s="10" t="n">
        <v>132.75</v>
      </c>
      <c r="H37" s="11" t="n">
        <v>0</v>
      </c>
      <c r="I37" s="10" t="n">
        <v>34.22999954223633</v>
      </c>
      <c r="J37" s="10" t="n">
        <v>33.97999954223633</v>
      </c>
      <c r="K37" s="11" t="n">
        <v>0</v>
      </c>
      <c r="L37" s="10" t="n">
        <v>45.59000015258789</v>
      </c>
      <c r="M37" s="10" t="n">
        <v>45</v>
      </c>
      <c r="N37" s="11" t="n">
        <v>0</v>
      </c>
      <c r="O37" s="10" t="n">
        <v>73.30000305175781</v>
      </c>
      <c r="P37" s="10" t="n">
        <v>72.73999786376953</v>
      </c>
      <c r="Q37" s="11" t="n">
        <v>0</v>
      </c>
    </row>
    <row r="38">
      <c r="A38" s="6" t="inlineStr">
        <is>
          <t>Nov 2022</t>
        </is>
      </c>
      <c r="B38" s="12" t="n">
        <v>0.0378</v>
      </c>
      <c r="C38" s="13" t="n">
        <v>67.98999786376953</v>
      </c>
      <c r="D38" s="13" t="n">
        <v>67.98000335693359</v>
      </c>
      <c r="E38" s="14" t="n">
        <v>0</v>
      </c>
      <c r="F38" s="13" t="n">
        <v>139.1100006103516</v>
      </c>
      <c r="G38" s="13" t="n">
        <v>139.0200042724609</v>
      </c>
      <c r="H38" s="14" t="n">
        <v>0</v>
      </c>
      <c r="I38" s="13" t="n">
        <v>36.31999969482422</v>
      </c>
      <c r="J38" s="13" t="n">
        <v>36.31000137329102</v>
      </c>
      <c r="K38" s="14" t="n">
        <v>0</v>
      </c>
      <c r="L38" s="13" t="n">
        <v>47.35499954223633</v>
      </c>
      <c r="M38" s="13" t="n">
        <v>45.57500076293945</v>
      </c>
      <c r="N38" s="14" t="n">
        <v>0</v>
      </c>
      <c r="O38" s="13" t="n">
        <v>77.20999908447266</v>
      </c>
      <c r="P38" s="13" t="n">
        <v>77.19000244140625</v>
      </c>
      <c r="Q38" s="14" t="n">
        <v>0</v>
      </c>
    </row>
    <row r="39">
      <c r="A39" s="8" t="inlineStr">
        <is>
          <t>Dec 2022</t>
        </is>
      </c>
      <c r="B39" s="9" t="n">
        <v>0.04099999999999999</v>
      </c>
      <c r="C39" s="10" t="n">
        <v>69.66500091552734</v>
      </c>
      <c r="D39" s="10" t="n">
        <v>62.22000122070312</v>
      </c>
      <c r="E39" s="11" t="n">
        <v>0.1825</v>
      </c>
      <c r="F39" s="10" t="n">
        <v>141.7700042724609</v>
      </c>
      <c r="G39" s="10" t="n">
        <v>135.8500061035156</v>
      </c>
      <c r="H39" s="11" t="n">
        <v>0.556</v>
      </c>
      <c r="I39" s="10" t="n">
        <v>36.4900016784668</v>
      </c>
      <c r="J39" s="10" t="n">
        <v>34.20000076293945</v>
      </c>
      <c r="K39" s="11" t="n">
        <v>0.21</v>
      </c>
      <c r="L39" s="10" t="n">
        <v>46.125</v>
      </c>
      <c r="M39" s="10" t="n">
        <v>43.73500061035156</v>
      </c>
      <c r="N39" s="11" t="n">
        <v>0.43</v>
      </c>
      <c r="O39" s="10" t="n">
        <v>77.62000274658203</v>
      </c>
      <c r="P39" s="10" t="n">
        <v>74.55000305175781</v>
      </c>
      <c r="Q39" s="11" t="n">
        <v>0.533</v>
      </c>
    </row>
    <row r="40">
      <c r="A40" s="6" t="inlineStr">
        <is>
          <t>Jan 2023</t>
        </is>
      </c>
      <c r="B40" s="12" t="n">
        <v>0.0433</v>
      </c>
      <c r="C40" s="13" t="n">
        <v>68.83000183105469</v>
      </c>
      <c r="D40" s="13" t="n">
        <v>67.98000335693359</v>
      </c>
      <c r="E40" s="14" t="n">
        <v>0</v>
      </c>
      <c r="F40" s="13" t="n">
        <v>136.5700073242188</v>
      </c>
      <c r="G40" s="13" t="n">
        <v>133.3600006103516</v>
      </c>
      <c r="H40" s="14" t="n">
        <v>0</v>
      </c>
      <c r="I40" s="13" t="n">
        <v>36.56999969482422</v>
      </c>
      <c r="J40" s="13" t="n">
        <v>36.56000137329102</v>
      </c>
      <c r="K40" s="14" t="n">
        <v>0</v>
      </c>
      <c r="L40" s="13" t="n">
        <v>46.57500076293945</v>
      </c>
      <c r="M40" s="13" t="n">
        <v>44.96500015258789</v>
      </c>
      <c r="N40" s="14" t="n">
        <v>0</v>
      </c>
      <c r="O40" s="13" t="n">
        <v>76.25</v>
      </c>
      <c r="P40" s="13" t="n">
        <v>73.73999786376953</v>
      </c>
      <c r="Q40" s="14" t="n">
        <v>0</v>
      </c>
    </row>
    <row r="41">
      <c r="A41" s="8" t="inlineStr">
        <is>
          <t>Feb 2023</t>
        </is>
      </c>
      <c r="B41" s="9" t="n">
        <v>0.0457</v>
      </c>
      <c r="C41" s="10" t="n">
        <v>72.29499816894531</v>
      </c>
      <c r="D41" s="10" t="n">
        <v>68.26000213623047</v>
      </c>
      <c r="E41" s="11" t="n">
        <v>0</v>
      </c>
      <c r="F41" s="10" t="n">
        <v>134.8099975585938</v>
      </c>
      <c r="G41" s="10" t="n">
        <v>127.1699981689453</v>
      </c>
      <c r="H41" s="11" t="n">
        <v>0</v>
      </c>
      <c r="I41" s="10" t="n">
        <v>37.11000061035156</v>
      </c>
      <c r="J41" s="10" t="n">
        <v>35.72000122070312</v>
      </c>
      <c r="K41" s="11" t="n">
        <v>0</v>
      </c>
      <c r="L41" s="10" t="n">
        <v>45.33499908447266</v>
      </c>
      <c r="M41" s="10" t="n">
        <v>41.84500122070312</v>
      </c>
      <c r="N41" s="11" t="n">
        <v>0</v>
      </c>
      <c r="O41" s="10" t="n">
        <v>74.66000366210938</v>
      </c>
      <c r="P41" s="10" t="n">
        <v>72.02999877929688</v>
      </c>
      <c r="Q41" s="11" t="n">
        <v>0</v>
      </c>
    </row>
    <row r="42">
      <c r="A42" s="6" t="inlineStr">
        <is>
          <t>Mar 2023</t>
        </is>
      </c>
      <c r="B42" s="12" t="n">
        <v>0.04650000000000001</v>
      </c>
      <c r="C42" s="13" t="n">
        <v>75.57499694824219</v>
      </c>
      <c r="D42" s="13" t="n">
        <v>75.50499725341797</v>
      </c>
      <c r="E42" s="14" t="n">
        <v>0.158</v>
      </c>
      <c r="F42" s="13" t="n">
        <v>129.6999969482422</v>
      </c>
      <c r="G42" s="13" t="n">
        <v>129.4600067138672</v>
      </c>
      <c r="H42" s="14" t="n">
        <v>0.489</v>
      </c>
      <c r="I42" s="13" t="n">
        <v>36.2400016784668</v>
      </c>
      <c r="J42" s="13" t="n">
        <v>32.15000152587891</v>
      </c>
      <c r="K42" s="14" t="n">
        <v>0.153</v>
      </c>
      <c r="L42" s="13" t="n">
        <v>43.84500122070312</v>
      </c>
      <c r="M42" s="13" t="n">
        <v>41.41500091552734</v>
      </c>
      <c r="N42" s="14" t="n">
        <v>0.3975</v>
      </c>
      <c r="O42" s="13" t="n">
        <v>74.73999786376953</v>
      </c>
      <c r="P42" s="13" t="n">
        <v>74.70999908447266</v>
      </c>
      <c r="Q42" s="14" t="n">
        <v>0.345</v>
      </c>
    </row>
    <row r="43">
      <c r="A43" s="8" t="inlineStr">
        <is>
          <t>Apr 2023</t>
        </is>
      </c>
      <c r="B43" s="9" t="n">
        <v>0.0483</v>
      </c>
      <c r="C43" s="10" t="n">
        <v>75.75499725341797</v>
      </c>
      <c r="D43" s="10" t="n">
        <v>75.41500091552734</v>
      </c>
      <c r="E43" s="11" t="n">
        <v>0</v>
      </c>
      <c r="F43" s="10" t="n">
        <v>135.8099975585938</v>
      </c>
      <c r="G43" s="10" t="n">
        <v>133.5299987792969</v>
      </c>
      <c r="H43" s="11" t="n">
        <v>0</v>
      </c>
      <c r="I43" s="10" t="n">
        <v>33.52999877929688</v>
      </c>
      <c r="J43" s="10" t="n">
        <v>33.16999816894531</v>
      </c>
      <c r="K43" s="11" t="n">
        <v>0</v>
      </c>
      <c r="L43" s="10" t="n">
        <v>43.86999893188477</v>
      </c>
      <c r="M43" s="10" t="n">
        <v>42.56499862670898</v>
      </c>
      <c r="N43" s="11" t="n">
        <v>0</v>
      </c>
      <c r="O43" s="10" t="n">
        <v>77.58000183105469</v>
      </c>
      <c r="P43" s="10" t="n">
        <v>77.44000244140625</v>
      </c>
      <c r="Q43" s="11" t="n">
        <v>0</v>
      </c>
    </row>
    <row r="44">
      <c r="A44" s="6" t="inlineStr">
        <is>
          <t>May 2023</t>
        </is>
      </c>
      <c r="B44" s="12" t="n">
        <v>0.0506</v>
      </c>
      <c r="C44" s="13" t="n">
        <v>84.01999664306641</v>
      </c>
      <c r="D44" s="13" t="n">
        <v>82.13999938964844</v>
      </c>
      <c r="E44" s="14" t="n">
        <v>0</v>
      </c>
      <c r="F44" s="13" t="n">
        <v>134.8999938964844</v>
      </c>
      <c r="G44" s="13" t="n">
        <v>127.8300018310547</v>
      </c>
      <c r="H44" s="14" t="n">
        <v>0</v>
      </c>
      <c r="I44" s="13" t="n">
        <v>33.43000030517578</v>
      </c>
      <c r="J44" s="13" t="n">
        <v>31.76000022888184</v>
      </c>
      <c r="K44" s="14" t="n">
        <v>0</v>
      </c>
      <c r="L44" s="13" t="n">
        <v>42.54000091552734</v>
      </c>
      <c r="M44" s="13" t="n">
        <v>38.29499816894531</v>
      </c>
      <c r="N44" s="14" t="n">
        <v>0</v>
      </c>
      <c r="O44" s="13" t="n">
        <v>77.81999969482422</v>
      </c>
      <c r="P44" s="13" t="n">
        <v>72.66999816894531</v>
      </c>
      <c r="Q44" s="14" t="n">
        <v>0</v>
      </c>
    </row>
    <row r="45">
      <c r="A45" s="8" t="inlineStr">
        <is>
          <t>Jun 2023</t>
        </is>
      </c>
      <c r="B45" s="9" t="n">
        <v>0.0508</v>
      </c>
      <c r="C45" s="10" t="n">
        <v>88.15000152587891</v>
      </c>
      <c r="D45" s="10" t="n">
        <v>86.93000030517578</v>
      </c>
      <c r="E45" s="11" t="n">
        <v>0.181</v>
      </c>
      <c r="F45" s="10" t="n">
        <v>133.25</v>
      </c>
      <c r="G45" s="10" t="n">
        <v>132.7299957275391</v>
      </c>
      <c r="H45" s="11" t="n">
        <v>0.542</v>
      </c>
      <c r="I45" s="10" t="n">
        <v>33.84999847412109</v>
      </c>
      <c r="J45" s="10" t="n">
        <v>33.70999908447266</v>
      </c>
      <c r="K45" s="11" t="n">
        <v>0.15</v>
      </c>
      <c r="L45" s="10" t="n">
        <v>41.2599983215332</v>
      </c>
      <c r="M45" s="10" t="n">
        <v>40.58499908447266</v>
      </c>
      <c r="N45" s="11" t="n">
        <v>0.353</v>
      </c>
      <c r="O45" s="10" t="n">
        <v>75.05000305175781</v>
      </c>
      <c r="P45" s="10" t="n">
        <v>74.16999816894531</v>
      </c>
      <c r="Q45" s="11" t="n">
        <v>0.526</v>
      </c>
    </row>
    <row r="46">
      <c r="A46" s="6" t="inlineStr">
        <is>
          <t>Jul 2023</t>
        </is>
      </c>
      <c r="B46" s="12" t="n">
        <v>0.0512</v>
      </c>
      <c r="C46" s="13" t="n">
        <v>90.73000335693359</v>
      </c>
      <c r="D46" s="13" t="n">
        <v>89.17500305175781</v>
      </c>
      <c r="E46" s="14" t="n">
        <v>0</v>
      </c>
      <c r="F46" s="13" t="n">
        <v>136.8500061035156</v>
      </c>
      <c r="G46" s="13" t="n">
        <v>134.1499938964844</v>
      </c>
      <c r="H46" s="14" t="n">
        <v>0</v>
      </c>
      <c r="I46" s="13" t="n">
        <v>35.70999908447266</v>
      </c>
      <c r="J46" s="13" t="n">
        <v>35.33000183105469</v>
      </c>
      <c r="K46" s="14" t="n">
        <v>0</v>
      </c>
      <c r="L46" s="13" t="n">
        <v>43.8650016784668</v>
      </c>
      <c r="M46" s="13" t="n">
        <v>43.7400016784668</v>
      </c>
      <c r="N46" s="14" t="n">
        <v>0</v>
      </c>
      <c r="O46" s="13" t="n">
        <v>76.40000152587891</v>
      </c>
      <c r="P46" s="13" t="n">
        <v>75.75</v>
      </c>
      <c r="Q46" s="14" t="n">
        <v>0</v>
      </c>
    </row>
    <row r="47">
      <c r="A47" s="8" t="inlineStr">
        <is>
          <t>Aug 2023</t>
        </is>
      </c>
      <c r="B47" s="9" t="n">
        <v>0.0533</v>
      </c>
      <c r="C47" s="10" t="n">
        <v>89.51499938964844</v>
      </c>
      <c r="D47" s="10" t="n">
        <v>87.83000183105469</v>
      </c>
      <c r="E47" s="11" t="n">
        <v>0</v>
      </c>
      <c r="F47" s="10" t="n">
        <v>136.5299987792969</v>
      </c>
      <c r="G47" s="10" t="n">
        <v>133.2100067138672</v>
      </c>
      <c r="H47" s="11" t="n">
        <v>0</v>
      </c>
      <c r="I47" s="10" t="n">
        <v>35.45999908447266</v>
      </c>
      <c r="J47" s="10" t="n">
        <v>34.38000106811523</v>
      </c>
      <c r="K47" s="11" t="n">
        <v>0</v>
      </c>
      <c r="L47" s="10" t="n">
        <v>45</v>
      </c>
      <c r="M47" s="10" t="n">
        <v>44.45999908447266</v>
      </c>
      <c r="N47" s="11" t="n">
        <v>0</v>
      </c>
      <c r="O47" s="10" t="n">
        <v>76.08000183105469</v>
      </c>
      <c r="P47" s="10" t="n">
        <v>72.76000213623047</v>
      </c>
      <c r="Q47" s="11" t="n">
        <v>0</v>
      </c>
    </row>
    <row r="48">
      <c r="A48" s="6" t="inlineStr">
        <is>
          <t>Sep 2023</t>
        </is>
      </c>
      <c r="B48" s="12" t="n">
        <v>0.0533</v>
      </c>
      <c r="C48" s="13" t="n">
        <v>88.69000244140625</v>
      </c>
      <c r="D48" s="13" t="n">
        <v>81.96499633789062</v>
      </c>
      <c r="E48" s="14" t="n">
        <v>0.18</v>
      </c>
      <c r="F48" s="13" t="n">
        <v>134.2400054931641</v>
      </c>
      <c r="G48" s="13" t="n">
        <v>128.7400054931641</v>
      </c>
      <c r="H48" s="14" t="n">
        <v>0.54</v>
      </c>
      <c r="I48" s="13" t="n">
        <v>35.06000137329102</v>
      </c>
      <c r="J48" s="13" t="n">
        <v>33.16999816894531</v>
      </c>
      <c r="K48" s="14" t="n">
        <v>0.155</v>
      </c>
      <c r="L48" s="13" t="n">
        <v>46.84500122070312</v>
      </c>
      <c r="M48" s="13" t="n">
        <v>45.19499969482422</v>
      </c>
      <c r="N48" s="14" t="n">
        <v>0.337</v>
      </c>
      <c r="O48" s="13" t="n">
        <v>73.04000091552734</v>
      </c>
      <c r="P48" s="13" t="n">
        <v>68.80999755859375</v>
      </c>
      <c r="Q48" s="14" t="n">
        <v>0.485</v>
      </c>
    </row>
    <row r="49">
      <c r="A49" s="8" t="inlineStr">
        <is>
          <t>Oct 2023</t>
        </is>
      </c>
      <c r="B49" s="9" t="n">
        <v>0.0533</v>
      </c>
      <c r="C49" s="10" t="n">
        <v>86.41500091552734</v>
      </c>
      <c r="D49" s="10" t="n">
        <v>82.00499725341797</v>
      </c>
      <c r="E49" s="11" t="n">
        <v>0</v>
      </c>
      <c r="F49" s="10" t="n">
        <v>131.9199981689453</v>
      </c>
      <c r="G49" s="10" t="n">
        <v>124.5400009155273</v>
      </c>
      <c r="H49" s="11" t="n">
        <v>0</v>
      </c>
      <c r="I49" s="10" t="n">
        <v>33.93999862670898</v>
      </c>
      <c r="J49" s="10" t="n">
        <v>32.36000061035156</v>
      </c>
      <c r="K49" s="11" t="n">
        <v>0</v>
      </c>
      <c r="L49" s="10" t="n">
        <v>46.27999877929688</v>
      </c>
      <c r="M49" s="10" t="n">
        <v>42.59500122070312</v>
      </c>
      <c r="N49" s="11" t="n">
        <v>0</v>
      </c>
      <c r="O49" s="10" t="n">
        <v>68.73999786376953</v>
      </c>
      <c r="P49" s="10" t="n">
        <v>67.86000061035156</v>
      </c>
      <c r="Q49" s="11" t="n">
        <v>0</v>
      </c>
    </row>
    <row r="50">
      <c r="A50" s="6" t="inlineStr">
        <is>
          <t>Nov 2023</t>
        </is>
      </c>
      <c r="B50" s="12" t="n">
        <v>0.0533</v>
      </c>
      <c r="C50" s="13" t="n">
        <v>93.44999694824219</v>
      </c>
      <c r="D50" s="13" t="n">
        <v>92.58000183105469</v>
      </c>
      <c r="E50" s="14" t="n">
        <v>0</v>
      </c>
      <c r="F50" s="13" t="n">
        <v>131.3899993896484</v>
      </c>
      <c r="G50" s="13" t="n">
        <v>131.3099975585938</v>
      </c>
      <c r="H50" s="14" t="n">
        <v>0</v>
      </c>
      <c r="I50" s="13" t="n">
        <v>35.90000152587891</v>
      </c>
      <c r="J50" s="13" t="n">
        <v>35.90000152587891</v>
      </c>
      <c r="K50" s="14" t="n">
        <v>0</v>
      </c>
      <c r="L50" s="13" t="n">
        <v>43.84000015258789</v>
      </c>
      <c r="M50" s="13" t="n">
        <v>42.29000091552734</v>
      </c>
      <c r="N50" s="14" t="n">
        <v>0</v>
      </c>
      <c r="O50" s="13" t="n">
        <v>70.70999908447266</v>
      </c>
      <c r="P50" s="13" t="n">
        <v>70.66000366210938</v>
      </c>
      <c r="Q50" s="14" t="n">
        <v>0</v>
      </c>
    </row>
    <row r="51">
      <c r="A51" s="8" t="inlineStr">
        <is>
          <t>Dec 2023</t>
        </is>
      </c>
      <c r="B51" s="9" t="n">
        <v>0.0533</v>
      </c>
      <c r="C51" s="10" t="n">
        <v>96.86000061035156</v>
      </c>
      <c r="D51" s="10" t="n">
        <v>96.23999786376953</v>
      </c>
      <c r="E51" s="11" t="n">
        <v>0.211</v>
      </c>
      <c r="F51" s="10" t="n">
        <v>136.6999969482422</v>
      </c>
      <c r="G51" s="10" t="n">
        <v>136.3800048828125</v>
      </c>
      <c r="H51" s="11" t="n">
        <v>0.598</v>
      </c>
      <c r="I51" s="10" t="n">
        <v>37.79999923706055</v>
      </c>
      <c r="J51" s="10" t="n">
        <v>37.59999847412109</v>
      </c>
      <c r="K51" s="11" t="n">
        <v>0.184</v>
      </c>
      <c r="L51" s="10" t="n">
        <v>43.08499908447266</v>
      </c>
      <c r="M51" s="10" t="n">
        <v>41.91999816894531</v>
      </c>
      <c r="N51" s="11" t="n">
        <v>0.401</v>
      </c>
      <c r="O51" s="10" t="n">
        <v>72.47000122070312</v>
      </c>
      <c r="P51" s="10" t="n">
        <v>72.02999877929688</v>
      </c>
      <c r="Q51" s="11" t="n">
        <v>0.536</v>
      </c>
    </row>
    <row r="52">
      <c r="A52" s="6" t="inlineStr">
        <is>
          <t>Jan 2024</t>
        </is>
      </c>
      <c r="B52" s="12" t="n">
        <v>0.0533</v>
      </c>
      <c r="C52" s="13" t="n">
        <v>103.0749969482422</v>
      </c>
      <c r="D52" s="13" t="n">
        <v>98.83999633789062</v>
      </c>
      <c r="E52" s="14" t="n">
        <v>0</v>
      </c>
      <c r="F52" s="13" t="n">
        <v>141.75</v>
      </c>
      <c r="G52" s="13" t="n">
        <v>140.3800048828125</v>
      </c>
      <c r="H52" s="14" t="n">
        <v>0</v>
      </c>
      <c r="I52" s="13" t="n">
        <v>39.45000076293945</v>
      </c>
      <c r="J52" s="13" t="n">
        <v>38.7599983215332</v>
      </c>
      <c r="K52" s="14" t="n">
        <v>0</v>
      </c>
      <c r="L52" s="13" t="n">
        <v>43.55500030517578</v>
      </c>
      <c r="M52" s="13" t="n">
        <v>41.70500183105469</v>
      </c>
      <c r="N52" s="14" t="n">
        <v>0</v>
      </c>
      <c r="O52" s="13" t="n">
        <v>73.65000152587891</v>
      </c>
      <c r="P52" s="13" t="n">
        <v>72.91999816894531</v>
      </c>
      <c r="Q52" s="14" t="n">
        <v>0</v>
      </c>
    </row>
    <row r="53">
      <c r="A53" s="8" t="inlineStr">
        <is>
          <t>Feb 2024</t>
        </is>
      </c>
      <c r="B53" s="9" t="n">
        <v>0.0533</v>
      </c>
      <c r="C53" s="10" t="n">
        <v>104.2350006103516</v>
      </c>
      <c r="D53" s="10" t="n">
        <v>103.4899978637695</v>
      </c>
      <c r="E53" s="11" t="n">
        <v>0</v>
      </c>
      <c r="F53" s="10" t="n">
        <v>148.2700042724609</v>
      </c>
      <c r="G53" s="10" t="n">
        <v>144.8200073242188</v>
      </c>
      <c r="H53" s="11" t="n">
        <v>0</v>
      </c>
      <c r="I53" s="10" t="n">
        <v>40.54999923706055</v>
      </c>
      <c r="J53" s="10" t="n">
        <v>40.34000015258789</v>
      </c>
      <c r="K53" s="11" t="n">
        <v>0</v>
      </c>
      <c r="L53" s="10" t="n">
        <v>43.44499969482422</v>
      </c>
      <c r="M53" s="10" t="n">
        <v>43.06999969482422</v>
      </c>
      <c r="N53" s="11" t="n">
        <v>0</v>
      </c>
      <c r="O53" s="10" t="n">
        <v>75.16000366210938</v>
      </c>
      <c r="P53" s="10" t="n">
        <v>74.44999694824219</v>
      </c>
      <c r="Q53" s="11" t="n">
        <v>0</v>
      </c>
    </row>
    <row r="54">
      <c r="A54" s="6" t="inlineStr">
        <is>
          <t>Mar 2024</t>
        </is>
      </c>
      <c r="B54" s="12" t="n">
        <v>0.0533</v>
      </c>
      <c r="C54" s="13" t="n">
        <v>106.1750030517578</v>
      </c>
      <c r="D54" s="13" t="n">
        <v>104.1350021362305</v>
      </c>
      <c r="E54" s="14" t="n">
        <v>0.1695</v>
      </c>
      <c r="F54" s="13" t="n">
        <v>148.2299957275391</v>
      </c>
      <c r="G54" s="13" t="n">
        <v>147.7299957275391</v>
      </c>
      <c r="H54" s="14" t="n">
        <v>0.523</v>
      </c>
      <c r="I54" s="13" t="n">
        <v>42.22000122070312</v>
      </c>
      <c r="J54" s="13" t="n">
        <v>42.11999893188477</v>
      </c>
      <c r="K54" s="14" t="n">
        <v>0.153</v>
      </c>
      <c r="L54" s="13" t="n">
        <v>47.29000091552734</v>
      </c>
      <c r="M54" s="13" t="n">
        <v>47.20500183105469</v>
      </c>
      <c r="N54" s="14" t="n">
        <v>0.367</v>
      </c>
      <c r="O54" s="13" t="n">
        <v>76.61000061035156</v>
      </c>
      <c r="P54" s="13" t="n">
        <v>76.36000061035156</v>
      </c>
      <c r="Q54" s="14" t="n">
        <v>0.552</v>
      </c>
    </row>
    <row r="55">
      <c r="A55" s="8" t="inlineStr">
        <is>
          <t>Apr 2024</t>
        </is>
      </c>
      <c r="B55" s="9" t="n">
        <v>0.0533</v>
      </c>
      <c r="C55" s="10" t="n">
        <v>105.0500030517578</v>
      </c>
      <c r="D55" s="10" t="n">
        <v>98.13500213623047</v>
      </c>
      <c r="E55" s="11" t="n">
        <v>0</v>
      </c>
      <c r="F55" s="10" t="n">
        <v>147.7299957275391</v>
      </c>
      <c r="G55" s="10" t="n">
        <v>140.3300018310547</v>
      </c>
      <c r="H55" s="11" t="n">
        <v>0</v>
      </c>
      <c r="I55" s="10" t="n">
        <v>42.20000076293945</v>
      </c>
      <c r="J55" s="10" t="n">
        <v>40.36000061035156</v>
      </c>
      <c r="K55" s="11" t="n">
        <v>0</v>
      </c>
      <c r="L55" s="10" t="n">
        <v>49.48500061035156</v>
      </c>
      <c r="M55" s="10" t="n">
        <v>46.7599983215332</v>
      </c>
      <c r="N55" s="11" t="n">
        <v>0</v>
      </c>
      <c r="O55" s="10" t="n">
        <v>76.47000122070312</v>
      </c>
      <c r="P55" s="10" t="n">
        <v>75.5</v>
      </c>
      <c r="Q55" s="11" t="n">
        <v>0</v>
      </c>
    </row>
    <row r="56">
      <c r="A56" s="6" t="inlineStr">
        <is>
          <t>May 2024</t>
        </is>
      </c>
      <c r="B56" s="12" t="n">
        <v>0.0533</v>
      </c>
      <c r="C56" s="13" t="n">
        <v>108.8099975585938</v>
      </c>
      <c r="D56" s="13" t="n">
        <v>105.0800018310547</v>
      </c>
      <c r="E56" s="14" t="n">
        <v>0</v>
      </c>
      <c r="F56" s="13" t="n">
        <v>146.9499969482422</v>
      </c>
      <c r="G56" s="13" t="n">
        <v>143.6999969482422</v>
      </c>
      <c r="H56" s="14" t="n">
        <v>0</v>
      </c>
      <c r="I56" s="13" t="n">
        <v>42.4900016784668</v>
      </c>
      <c r="J56" s="13" t="n">
        <v>41.63999938964844</v>
      </c>
      <c r="K56" s="14" t="n">
        <v>0</v>
      </c>
      <c r="L56" s="13" t="n">
        <v>47.60499954223633</v>
      </c>
      <c r="M56" s="13" t="n">
        <v>46.59999847412109</v>
      </c>
      <c r="N56" s="14" t="n">
        <v>0</v>
      </c>
      <c r="O56" s="13" t="n">
        <v>78.61000061035156</v>
      </c>
      <c r="P56" s="13" t="n">
        <v>77.33999633789062</v>
      </c>
      <c r="Q56" s="14" t="n">
        <v>0</v>
      </c>
    </row>
    <row r="57">
      <c r="A57" s="8" t="inlineStr">
        <is>
          <t>Jun 2024</t>
        </is>
      </c>
      <c r="B57" s="9" t="n">
        <v>0.0533</v>
      </c>
      <c r="C57" s="10" t="n">
        <v>116.2949981689453</v>
      </c>
      <c r="D57" s="10" t="n">
        <v>113.1149978637695</v>
      </c>
      <c r="E57" s="11" t="n">
        <v>0.2</v>
      </c>
      <c r="F57" s="10" t="n">
        <v>147.6100006103516</v>
      </c>
      <c r="G57" s="10" t="n">
        <v>145.75</v>
      </c>
      <c r="H57" s="11" t="n">
        <v>0.573</v>
      </c>
      <c r="I57" s="10" t="n">
        <v>41.84999847412109</v>
      </c>
      <c r="J57" s="10" t="n">
        <v>41.11000061035156</v>
      </c>
      <c r="K57" s="11" t="n">
        <v>0.163</v>
      </c>
      <c r="L57" s="10" t="n">
        <v>46.45999908447266</v>
      </c>
      <c r="M57" s="10" t="n">
        <v>45.57500076293945</v>
      </c>
      <c r="N57" s="11" t="n">
        <v>0.3575</v>
      </c>
      <c r="O57" s="10" t="n">
        <v>78.33000183105469</v>
      </c>
      <c r="P57" s="10" t="n">
        <v>76.58000183105469</v>
      </c>
      <c r="Q57" s="11" t="n">
        <v>0.582</v>
      </c>
    </row>
    <row r="58">
      <c r="A58" s="6" t="inlineStr">
        <is>
          <t>Jul 2024</t>
        </is>
      </c>
      <c r="B58" s="12" t="n">
        <v>0.0533</v>
      </c>
      <c r="C58" s="13" t="n">
        <v>119.0699996948242</v>
      </c>
      <c r="D58" s="13" t="n">
        <v>109.4000015258789</v>
      </c>
      <c r="E58" s="14" t="n">
        <v>0</v>
      </c>
      <c r="F58" s="13" t="n">
        <v>151.5299987792969</v>
      </c>
      <c r="G58" s="13" t="n">
        <v>149.6300048828125</v>
      </c>
      <c r="H58" s="14" t="n">
        <v>0</v>
      </c>
      <c r="I58" s="13" t="n">
        <v>44.11000061035156</v>
      </c>
      <c r="J58" s="13" t="n">
        <v>43.7400016784668</v>
      </c>
      <c r="K58" s="14" t="n">
        <v>0</v>
      </c>
      <c r="L58" s="13" t="n">
        <v>47.25500106811523</v>
      </c>
      <c r="M58" s="13" t="n">
        <v>46.60499954223633</v>
      </c>
      <c r="N58" s="14" t="n">
        <v>0</v>
      </c>
      <c r="O58" s="13" t="n">
        <v>79.15000152587891</v>
      </c>
      <c r="P58" s="13" t="n">
        <v>77.84999847412109</v>
      </c>
      <c r="Q58" s="14" t="n">
        <v>0</v>
      </c>
    </row>
    <row r="59">
      <c r="A59" s="8" t="inlineStr">
        <is>
          <t>Aug 2024</t>
        </is>
      </c>
      <c r="B59" s="9" t="n">
        <v>0.0533</v>
      </c>
      <c r="C59" s="10" t="n">
        <v>113.6849975585938</v>
      </c>
      <c r="D59" s="10" t="n">
        <v>110.1650009155273</v>
      </c>
      <c r="E59" s="11" t="n">
        <v>0</v>
      </c>
      <c r="F59" s="10" t="n">
        <v>157.2799987792969</v>
      </c>
      <c r="G59" s="10" t="n">
        <v>157.1999969482422</v>
      </c>
      <c r="H59" s="11" t="n">
        <v>0</v>
      </c>
      <c r="I59" s="10" t="n">
        <v>45.77999877929688</v>
      </c>
      <c r="J59" s="10" t="n">
        <v>45.7400016784668</v>
      </c>
      <c r="K59" s="11" t="n">
        <v>0</v>
      </c>
      <c r="L59" s="10" t="n">
        <v>46.73500061035156</v>
      </c>
      <c r="M59" s="10" t="n">
        <v>45.63999938964844</v>
      </c>
      <c r="N59" s="11" t="n">
        <v>0</v>
      </c>
      <c r="O59" s="10" t="n">
        <v>82.76999664306641</v>
      </c>
      <c r="P59" s="10" t="n">
        <v>82.51000213623047</v>
      </c>
      <c r="Q59" s="11" t="n">
        <v>0</v>
      </c>
    </row>
    <row r="60">
      <c r="A60" s="6" t="inlineStr">
        <is>
          <t>Sep 2024</t>
        </is>
      </c>
      <c r="B60" s="12" t="n">
        <v>0.0513</v>
      </c>
      <c r="C60" s="13" t="n">
        <v>217.4400024414062</v>
      </c>
      <c r="D60" s="13" t="n">
        <v>112.879997253418</v>
      </c>
      <c r="E60" s="14" t="n">
        <v>0.1995</v>
      </c>
      <c r="F60" s="13" t="n">
        <v>159.6399993896484</v>
      </c>
      <c r="G60" s="13" t="n">
        <v>154.0200042724609</v>
      </c>
      <c r="H60" s="14" t="n">
        <v>0.577</v>
      </c>
      <c r="I60" s="13" t="n">
        <v>45.88000106811523</v>
      </c>
      <c r="J60" s="13" t="n">
        <v>45.31999969482422</v>
      </c>
      <c r="K60" s="14" t="n">
        <v>0.165</v>
      </c>
      <c r="L60" s="13" t="n">
        <v>90.94000244140625</v>
      </c>
      <c r="M60" s="13" t="n">
        <v>43.90000152587891</v>
      </c>
      <c r="N60" s="14" t="n">
        <v>0.3635</v>
      </c>
      <c r="O60" s="13" t="n">
        <v>84.52999877929688</v>
      </c>
      <c r="P60" s="13" t="n">
        <v>83</v>
      </c>
      <c r="Q60" s="14" t="n">
        <v>0.439</v>
      </c>
    </row>
    <row r="61">
      <c r="A61" s="8" t="inlineStr">
        <is>
          <t>Oct 2024</t>
        </is>
      </c>
      <c r="B61" s="9" t="n">
        <v>0.0483</v>
      </c>
      <c r="C61" s="10" t="n">
        <v>117.2850036621094</v>
      </c>
      <c r="D61" s="10" t="n">
        <v>111.120002746582</v>
      </c>
      <c r="E61" s="11" t="n">
        <v>0</v>
      </c>
      <c r="F61" s="10" t="n">
        <v>155.0099945068359</v>
      </c>
      <c r="G61" s="10" t="n">
        <v>146.8699951171875</v>
      </c>
      <c r="H61" s="11" t="n">
        <v>0</v>
      </c>
      <c r="I61" s="10" t="n">
        <v>47.81000137329102</v>
      </c>
      <c r="J61" s="10" t="n">
        <v>46.47999954223633</v>
      </c>
      <c r="K61" s="11" t="n">
        <v>0</v>
      </c>
      <c r="L61" s="10" t="n">
        <v>47.10499954223633</v>
      </c>
      <c r="M61" s="10" t="n">
        <v>44.29499816894531</v>
      </c>
      <c r="N61" s="11" t="n">
        <v>0</v>
      </c>
      <c r="O61" s="10" t="n">
        <v>83.19000244140625</v>
      </c>
      <c r="P61" s="10" t="n">
        <v>80.12000274658203</v>
      </c>
      <c r="Q61" s="11" t="n">
        <v>0</v>
      </c>
    </row>
    <row r="62">
      <c r="A62" s="6" t="inlineStr">
        <is>
          <t>Nov 2024</t>
        </is>
      </c>
      <c r="B62" s="12" t="n">
        <v>0.0464</v>
      </c>
      <c r="C62" s="13" t="n">
        <v>118.9700012207031</v>
      </c>
      <c r="D62" s="13" t="n">
        <v>116.8649978637695</v>
      </c>
      <c r="E62" s="14" t="n">
        <v>0</v>
      </c>
      <c r="F62" s="13" t="n">
        <v>150.9499969482422</v>
      </c>
      <c r="G62" s="13" t="n">
        <v>147.4100036621094</v>
      </c>
      <c r="H62" s="14" t="n">
        <v>0</v>
      </c>
      <c r="I62" s="13" t="n">
        <v>51.61999893188477</v>
      </c>
      <c r="J62" s="13" t="n">
        <v>51.34000015258789</v>
      </c>
      <c r="K62" s="14" t="n">
        <v>0</v>
      </c>
      <c r="L62" s="13" t="n">
        <v>48.95999908447266</v>
      </c>
      <c r="M62" s="13" t="n">
        <v>47.76499938964844</v>
      </c>
      <c r="N62" s="14" t="n">
        <v>0</v>
      </c>
      <c r="O62" s="13" t="n">
        <v>83.30000305175781</v>
      </c>
      <c r="P62" s="13" t="n">
        <v>83.22000122070312</v>
      </c>
      <c r="Q62" s="14" t="n">
        <v>0</v>
      </c>
    </row>
    <row r="63">
      <c r="A63" s="8" t="inlineStr">
        <is>
          <t>Dec 2024</t>
        </is>
      </c>
      <c r="B63" s="9" t="n">
        <v>0.04480000000000001</v>
      </c>
      <c r="C63" s="10" t="n">
        <v>120.9400024414062</v>
      </c>
      <c r="D63" s="10" t="n">
        <v>116.2600021362305</v>
      </c>
      <c r="E63" s="11" t="n">
        <v>0.193</v>
      </c>
      <c r="F63" s="10" t="n">
        <v>147.5800018310547</v>
      </c>
      <c r="G63" s="10" t="n">
        <v>137.5700073242188</v>
      </c>
      <c r="H63" s="11" t="n">
        <v>0.622</v>
      </c>
      <c r="I63" s="10" t="n">
        <v>51.4900016784668</v>
      </c>
      <c r="J63" s="10" t="n">
        <v>48.33000183105469</v>
      </c>
      <c r="K63" s="11" t="n">
        <v>0.206</v>
      </c>
      <c r="L63" s="10" t="n">
        <v>47.83000183105469</v>
      </c>
      <c r="M63" s="10" t="n">
        <v>42.83000183105469</v>
      </c>
      <c r="N63" s="11" t="n">
        <v>0.35</v>
      </c>
      <c r="O63" s="10" t="n">
        <v>83.29000091552734</v>
      </c>
      <c r="P63" s="10" t="n">
        <v>78.61000061035156</v>
      </c>
      <c r="Q63" s="11" t="n">
        <v>0.602</v>
      </c>
    </row>
    <row r="64">
      <c r="A64" s="6" t="inlineStr">
        <is>
          <t>Jan 2025</t>
        </is>
      </c>
      <c r="B64" s="12" t="n">
        <v>0.0433</v>
      </c>
      <c r="C64" s="13" t="n">
        <v>121.2900009155273</v>
      </c>
      <c r="D64" s="13" t="n">
        <v>115.4049987792969</v>
      </c>
      <c r="E64" s="14" t="n">
        <v>0</v>
      </c>
      <c r="F64" s="13" t="n">
        <v>148.5899963378906</v>
      </c>
      <c r="G64" s="13" t="n">
        <v>146.8699951171875</v>
      </c>
      <c r="H64" s="14" t="n">
        <v>0</v>
      </c>
      <c r="I64" s="13" t="n">
        <v>52.04000091552734</v>
      </c>
      <c r="J64" s="13" t="n">
        <v>51.47000122070312</v>
      </c>
      <c r="K64" s="14" t="n">
        <v>0</v>
      </c>
      <c r="L64" s="13" t="n">
        <v>47.14500045776367</v>
      </c>
      <c r="M64" s="13" t="n">
        <v>43.81999969482422</v>
      </c>
      <c r="N64" s="14" t="n">
        <v>0</v>
      </c>
      <c r="O64" s="13" t="n">
        <v>80.16000366210938</v>
      </c>
      <c r="P64" s="13" t="n">
        <v>78.98000335693359</v>
      </c>
      <c r="Q64" s="14" t="n">
        <v>0</v>
      </c>
    </row>
    <row r="65">
      <c r="A65" s="8" t="inlineStr">
        <is>
          <t>Feb 2025</t>
        </is>
      </c>
      <c r="B65" s="9" t="n">
        <v>0.0433</v>
      </c>
      <c r="C65" s="10" t="n">
        <v>121.5699996948242</v>
      </c>
      <c r="D65" s="10" t="n">
        <v>112.7649993896484</v>
      </c>
      <c r="E65" s="11" t="n">
        <v>0</v>
      </c>
      <c r="F65" s="10" t="n">
        <v>149.1600036621094</v>
      </c>
      <c r="G65" s="10" t="n">
        <v>148.9299926757812</v>
      </c>
      <c r="H65" s="11" t="n">
        <v>0</v>
      </c>
      <c r="I65" s="10" t="n">
        <v>52.2599983215332</v>
      </c>
      <c r="J65" s="10" t="n">
        <v>52.18000030517578</v>
      </c>
      <c r="K65" s="11" t="n">
        <v>0</v>
      </c>
      <c r="L65" s="10" t="n">
        <v>46.5099983215332</v>
      </c>
      <c r="M65" s="10" t="n">
        <v>45.5</v>
      </c>
      <c r="N65" s="11" t="n">
        <v>0</v>
      </c>
      <c r="O65" s="10" t="n">
        <v>83.87999725341797</v>
      </c>
      <c r="P65" s="10" t="n">
        <v>83.08000183105469</v>
      </c>
      <c r="Q65" s="11" t="n">
        <v>0</v>
      </c>
    </row>
    <row r="66">
      <c r="A66" s="6" t="inlineStr">
        <is>
          <t>Mar 2025</t>
        </is>
      </c>
      <c r="B66" s="12" t="n">
        <v>0.0433</v>
      </c>
      <c r="C66" s="13" t="n">
        <v>113.5749969482422</v>
      </c>
      <c r="D66" s="13" t="n">
        <v>103.2399978637695</v>
      </c>
      <c r="E66" s="14" t="n">
        <v>0.1875</v>
      </c>
      <c r="F66" s="13" t="n">
        <v>150.3200073242188</v>
      </c>
      <c r="G66" s="13" t="n">
        <v>146.0099945068359</v>
      </c>
      <c r="H66" s="14" t="n">
        <v>0.5649999999999999</v>
      </c>
      <c r="I66" s="13" t="n">
        <v>52.63999938964844</v>
      </c>
      <c r="J66" s="13" t="n">
        <v>49.81000137329102</v>
      </c>
      <c r="K66" s="14" t="n">
        <v>0.179</v>
      </c>
      <c r="L66" s="13" t="n">
        <v>47.40999984741211</v>
      </c>
      <c r="M66" s="13" t="n">
        <v>46.72499847412109</v>
      </c>
      <c r="N66" s="14" t="n">
        <v>0.358</v>
      </c>
      <c r="O66" s="13" t="n">
        <v>84.34999847412109</v>
      </c>
      <c r="P66" s="13" t="n">
        <v>81.66999816894531</v>
      </c>
      <c r="Q66" s="14" t="n">
        <v>0.418</v>
      </c>
    </row>
    <row r="67">
      <c r="A67" s="8" t="inlineStr">
        <is>
          <t>Apr 2025</t>
        </is>
      </c>
      <c r="B67" s="9" t="n">
        <v>0.0433</v>
      </c>
      <c r="C67" s="10" t="n">
        <v>105.629997253418</v>
      </c>
      <c r="D67" s="10" t="n">
        <v>104.9850006103516</v>
      </c>
      <c r="E67" s="11" t="n">
        <v>0</v>
      </c>
      <c r="F67" s="10" t="n">
        <v>145.4799957275391</v>
      </c>
      <c r="G67" s="10" t="n">
        <v>140.4700012207031</v>
      </c>
      <c r="H67" s="11" t="n">
        <v>0</v>
      </c>
      <c r="I67" s="10" t="n">
        <v>50.33000183105469</v>
      </c>
      <c r="J67" s="10" t="n">
        <v>48.7599983215332</v>
      </c>
      <c r="K67" s="11" t="n">
        <v>0</v>
      </c>
      <c r="L67" s="10" t="n">
        <v>47.10499954223633</v>
      </c>
      <c r="M67" s="10" t="n">
        <v>40.25</v>
      </c>
      <c r="N67" s="11" t="n">
        <v>0</v>
      </c>
      <c r="O67" s="10" t="n">
        <v>82.81999969482422</v>
      </c>
      <c r="P67" s="10" t="n">
        <v>81.83000183105469</v>
      </c>
      <c r="Q67" s="11" t="n">
        <v>0</v>
      </c>
    </row>
    <row r="68">
      <c r="A68" s="6" t="inlineStr">
        <is>
          <t>May 2025</t>
        </is>
      </c>
      <c r="B68" s="12" t="n">
        <v>0.0433</v>
      </c>
      <c r="C68" s="13" t="n">
        <v>117.8850021362305</v>
      </c>
      <c r="D68" s="13" t="n">
        <v>115.4550018310547</v>
      </c>
      <c r="E68" s="14" t="n">
        <v>0</v>
      </c>
      <c r="F68" s="13" t="n">
        <v>139.1100006103516</v>
      </c>
      <c r="G68" s="13" t="n">
        <v>132.6399993896484</v>
      </c>
      <c r="H68" s="14" t="n">
        <v>0</v>
      </c>
      <c r="I68" s="13" t="n">
        <v>51.77000045776367</v>
      </c>
      <c r="J68" s="13" t="n">
        <v>50.95999908447266</v>
      </c>
      <c r="K68" s="14" t="n">
        <v>0</v>
      </c>
      <c r="L68" s="13" t="n">
        <v>43.22499847412109</v>
      </c>
      <c r="M68" s="13" t="n">
        <v>40.76499938964844</v>
      </c>
      <c r="N68" s="14" t="n">
        <v>0</v>
      </c>
      <c r="O68" s="13" t="n">
        <v>83.19000244140625</v>
      </c>
      <c r="P68" s="13" t="n">
        <v>82.83000183105469</v>
      </c>
      <c r="Q68" s="14" t="n">
        <v>0</v>
      </c>
    </row>
    <row r="69">
      <c r="A69" s="8" t="inlineStr">
        <is>
          <t>Jun 2025</t>
        </is>
      </c>
      <c r="B69" s="9" t="n">
        <v>0.0433</v>
      </c>
      <c r="C69" s="10" t="n">
        <v>126.9599990844727</v>
      </c>
      <c r="D69" s="10" t="n">
        <v>126.6149978637695</v>
      </c>
      <c r="E69" s="11" t="n">
        <v>0.199</v>
      </c>
      <c r="F69" s="10" t="n">
        <v>137.3300018310547</v>
      </c>
      <c r="G69" s="10" t="n">
        <v>134.7899932861328</v>
      </c>
      <c r="H69" s="11" t="n">
        <v>0.63</v>
      </c>
      <c r="I69" s="10" t="n">
        <v>52.43999862670898</v>
      </c>
      <c r="J69" s="10" t="n">
        <v>52.36999893188477</v>
      </c>
      <c r="K69" s="11" t="n">
        <v>0.172</v>
      </c>
      <c r="L69" s="10" t="n">
        <v>44.71500015258789</v>
      </c>
      <c r="M69" s="10" t="n">
        <v>42.40499877929688</v>
      </c>
      <c r="N69" s="11" t="n">
        <v>0.359</v>
      </c>
      <c r="O69" s="10" t="n">
        <v>82.93000030517578</v>
      </c>
      <c r="P69" s="10" t="n">
        <v>80.97000122070312</v>
      </c>
      <c r="Q69" s="11" t="n">
        <v>0.552</v>
      </c>
    </row>
    <row r="70">
      <c r="A70" s="6" t="inlineStr">
        <is>
          <t>Jul 2025</t>
        </is>
      </c>
      <c r="B70" s="12" t="n">
        <v>0.0433</v>
      </c>
      <c r="C70" s="13" t="n">
        <v>134.0050048828125</v>
      </c>
      <c r="D70" s="13" t="n">
        <v>131.3699951171875</v>
      </c>
      <c r="E70" s="14" t="n">
        <v>0</v>
      </c>
      <c r="F70" s="13" t="n">
        <v>137.7599945068359</v>
      </c>
      <c r="G70" s="13" t="n">
        <v>130.4299926757812</v>
      </c>
      <c r="H70" s="14" t="n">
        <v>0</v>
      </c>
      <c r="I70" s="13" t="n">
        <v>53.4900016784668</v>
      </c>
      <c r="J70" s="13" t="n">
        <v>52.36999893188477</v>
      </c>
      <c r="K70" s="14" t="n">
        <v>0</v>
      </c>
      <c r="L70" s="13" t="n">
        <v>44.72000122070312</v>
      </c>
      <c r="M70" s="13" t="n">
        <v>43.60499954223633</v>
      </c>
      <c r="N70" s="14" t="n">
        <v>0</v>
      </c>
      <c r="O70" s="13" t="n">
        <v>82.48000335693359</v>
      </c>
      <c r="P70" s="13" t="n">
        <v>79.77999877929688</v>
      </c>
      <c r="Q70" s="14" t="n">
        <v>0</v>
      </c>
    </row>
    <row r="71">
      <c r="A71" s="8" t="inlineStr">
        <is>
          <t>Aug 2025</t>
        </is>
      </c>
      <c r="B71" s="9" t="n">
        <v>0.0433</v>
      </c>
      <c r="C71" s="10" t="n">
        <v>135.0249938964844</v>
      </c>
      <c r="D71" s="10" t="n">
        <v>131.2250061035156</v>
      </c>
      <c r="E71" s="11" t="n">
        <v>0</v>
      </c>
      <c r="F71" s="10" t="n">
        <v>139.0200042724609</v>
      </c>
      <c r="G71" s="10" t="n">
        <v>137.4299926757812</v>
      </c>
      <c r="H71" s="11" t="n">
        <v>0</v>
      </c>
      <c r="I71" s="10" t="n">
        <v>54.13999938964844</v>
      </c>
      <c r="J71" s="10" t="n">
        <v>53.9900016784668</v>
      </c>
      <c r="K71" s="11" t="n">
        <v>0</v>
      </c>
      <c r="L71" s="10" t="n">
        <v>45.31000137329102</v>
      </c>
      <c r="M71" s="10" t="n">
        <v>45.19499969482422</v>
      </c>
      <c r="N71" s="11" t="n">
        <v>0</v>
      </c>
      <c r="O71" s="10" t="n">
        <v>83.90000152587891</v>
      </c>
      <c r="P71" s="10" t="n">
        <v>80.77999877929688</v>
      </c>
      <c r="Q71" s="11" t="n">
        <v>0</v>
      </c>
    </row>
    <row r="72">
      <c r="A72" s="6" t="inlineStr">
        <is>
          <t>Sep 2025</t>
        </is>
      </c>
      <c r="B72" s="12" t="n">
        <v>0.04219999999999999</v>
      </c>
      <c r="C72" s="13" t="n">
        <v>141.4450073242188</v>
      </c>
      <c r="D72" s="13" t="n">
        <v>140.9299926757812</v>
      </c>
      <c r="E72" s="14" t="n">
        <v>0.179</v>
      </c>
      <c r="F72" s="13" t="n">
        <v>140</v>
      </c>
      <c r="G72" s="13" t="n">
        <v>139.1699981689453</v>
      </c>
      <c r="H72" s="14" t="n">
        <v>0.625</v>
      </c>
      <c r="I72" s="13" t="n">
        <v>54.5</v>
      </c>
      <c r="J72" s="13" t="n">
        <v>53.86999893188477</v>
      </c>
      <c r="K72" s="14" t="n">
        <v>0.178</v>
      </c>
      <c r="L72" s="13" t="n">
        <v>46.45500183105469</v>
      </c>
      <c r="M72" s="13" t="n">
        <v>44.66999816894531</v>
      </c>
      <c r="N72" s="14" t="n">
        <v>0.3745</v>
      </c>
      <c r="O72" s="13" t="n">
        <v>81.27999877929688</v>
      </c>
      <c r="P72" s="13" t="n">
        <v>78.37000274658203</v>
      </c>
      <c r="Q72" s="14" t="n">
        <v>0.541</v>
      </c>
    </row>
    <row r="73">
      <c r="A73" s="8" t="inlineStr">
        <is>
          <t>Oct 2025</t>
        </is>
      </c>
      <c r="B73" s="9" t="n">
        <v>0.0409</v>
      </c>
      <c r="C73" s="10" t="n">
        <v>152.9949951171875</v>
      </c>
      <c r="D73" s="10" t="n">
        <v>150.3399963378906</v>
      </c>
      <c r="E73" s="11" t="n">
        <v>0</v>
      </c>
      <c r="F73" s="10" t="n">
        <v>146.7599945068359</v>
      </c>
      <c r="G73" s="10" t="n">
        <v>144.25</v>
      </c>
      <c r="H73" s="11" t="n">
        <v>0</v>
      </c>
      <c r="I73" s="10" t="n">
        <v>54.06999969482422</v>
      </c>
      <c r="J73" s="10" t="n">
        <v>52.36999893188477</v>
      </c>
      <c r="K73" s="11" t="n">
        <v>0</v>
      </c>
      <c r="L73" s="10" t="n">
        <v>44.96500015258789</v>
      </c>
      <c r="M73" s="10" t="n">
        <v>44.06499862670898</v>
      </c>
      <c r="N73" s="11" t="n">
        <v>0</v>
      </c>
      <c r="O73" s="10" t="n">
        <v>80.25</v>
      </c>
      <c r="P73" s="10" t="n">
        <v>76.27999877929688</v>
      </c>
      <c r="Q73" s="11" t="n">
        <v>0</v>
      </c>
    </row>
    <row r="74">
      <c r="A74" s="6" t="inlineStr">
        <is>
          <t>Nov 2025</t>
        </is>
      </c>
      <c r="B74" s="12" t="n">
        <v>0.0388</v>
      </c>
      <c r="C74" s="13" t="n">
        <v>152.1100006103516</v>
      </c>
      <c r="D74" s="13" t="n">
        <v>143.1100006103516</v>
      </c>
      <c r="E74" s="14" t="n">
        <v>0</v>
      </c>
      <c r="F74" s="13" t="n">
        <v>158.9499969482422</v>
      </c>
      <c r="G74" s="13" t="n">
        <v>157.6499938964844</v>
      </c>
      <c r="H74" s="14" t="n">
        <v>0</v>
      </c>
      <c r="I74" s="13" t="n">
        <v>53.88999938964844</v>
      </c>
      <c r="J74" s="13" t="n">
        <v>53.33000183105469</v>
      </c>
      <c r="K74" s="14" t="n">
        <v>0</v>
      </c>
      <c r="L74" s="13" t="n">
        <v>46.11000061035156</v>
      </c>
      <c r="M74" s="13" t="n">
        <v>45.22499847412109</v>
      </c>
      <c r="N74" s="14" t="n">
        <v>0</v>
      </c>
      <c r="O74" s="13" t="n">
        <v>79.38999938964844</v>
      </c>
      <c r="P74" s="13" t="n">
        <v>79.37000274658203</v>
      </c>
      <c r="Q74" s="14" t="n">
        <v>0</v>
      </c>
    </row>
    <row r="75">
      <c r="A75" s="8" t="inlineStr">
        <is>
          <t>Dec 2025</t>
        </is>
      </c>
      <c r="B75" s="9" t="n">
        <v>0.0372</v>
      </c>
      <c r="C75" s="10" t="n">
        <v>149.2200012207031</v>
      </c>
      <c r="D75" s="10" t="n">
        <v>143.9700012207031</v>
      </c>
      <c r="E75" s="11" t="n">
        <v>0.219</v>
      </c>
      <c r="F75" s="10" t="n">
        <v>157.8600006103516</v>
      </c>
      <c r="G75" s="10" t="n">
        <v>154.8000030517578</v>
      </c>
      <c r="H75" s="11" t="n">
        <v>0.657</v>
      </c>
      <c r="I75" s="10" t="n">
        <v>55.88999938964844</v>
      </c>
      <c r="J75" s="10" t="n">
        <v>54.77000045776367</v>
      </c>
      <c r="K75" s="11" t="n">
        <v>0.191</v>
      </c>
      <c r="L75" s="10" t="n">
        <v>46.65999984741211</v>
      </c>
      <c r="M75" s="10" t="n">
        <v>44.70999908447266</v>
      </c>
      <c r="N75" s="11" t="n">
        <v>0.373</v>
      </c>
      <c r="O75" s="10" t="n">
        <v>79.97000122070312</v>
      </c>
      <c r="P75" s="10" t="n">
        <v>77.68000030517578</v>
      </c>
      <c r="Q75" s="11" t="n">
        <v>0.627</v>
      </c>
    </row>
    <row r="76">
      <c r="A76" s="6" t="inlineStr">
        <is>
          <t>Jan 2026</t>
        </is>
      </c>
      <c r="B76" s="12" t="n">
        <v>0.0364</v>
      </c>
      <c r="C76" s="13" t="n">
        <v>149.8999938964844</v>
      </c>
      <c r="D76" s="13" t="n">
        <v>143.8800048828125</v>
      </c>
      <c r="E76" s="14" t="n">
        <v>0</v>
      </c>
      <c r="F76" s="13" t="n">
        <v>160.5899963378906</v>
      </c>
      <c r="G76" s="13" t="n">
        <v>154.7400054931641</v>
      </c>
      <c r="H76" s="14" t="n">
        <v>0</v>
      </c>
      <c r="I76" s="13" t="n">
        <v>56.52000045776367</v>
      </c>
      <c r="J76" s="13" t="n">
        <v>53.43999862670898</v>
      </c>
      <c r="K76" s="14" t="n">
        <v>0</v>
      </c>
      <c r="L76" s="13" t="n">
        <v>51.72999954223633</v>
      </c>
      <c r="M76" s="13" t="n">
        <v>51.04999923706055</v>
      </c>
      <c r="N76" s="14" t="n">
        <v>0</v>
      </c>
      <c r="O76" s="13" t="n">
        <v>83.51000213623047</v>
      </c>
      <c r="P76" s="13" t="n">
        <v>83.51000213623047</v>
      </c>
      <c r="Q76" s="14" t="n">
        <v>0</v>
      </c>
    </row>
    <row r="77">
      <c r="A77" s="8" t="inlineStr">
        <is>
          <t>Feb 2026</t>
        </is>
      </c>
      <c r="B77" s="9" t="n">
        <v>0</v>
      </c>
      <c r="C77" s="10" t="n">
        <v>146.1499938964844</v>
      </c>
      <c r="D77" s="10" t="n">
        <v>141.1300048828125</v>
      </c>
      <c r="E77" s="11" t="n">
        <v>0</v>
      </c>
      <c r="F77" s="10" t="n">
        <v>157.8000030517578</v>
      </c>
      <c r="G77" s="10" t="n">
        <v>157.7100067138672</v>
      </c>
      <c r="H77" s="11" t="n">
        <v>0</v>
      </c>
      <c r="I77" s="10" t="n">
        <v>54.34999847412109</v>
      </c>
      <c r="J77" s="10" t="n">
        <v>54.2599983215332</v>
      </c>
      <c r="K77" s="11" t="n">
        <v>0</v>
      </c>
      <c r="L77" s="10" t="n">
        <v>53.41999816894531</v>
      </c>
      <c r="M77" s="10" t="n">
        <v>53.25</v>
      </c>
      <c r="N77" s="11" t="n">
        <v>0</v>
      </c>
      <c r="O77" s="10" t="n">
        <v>88.08999633789062</v>
      </c>
      <c r="P77" s="10" t="n">
        <v>87.94000244140625</v>
      </c>
      <c r="Q77" s="11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A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2" customWidth="1" min="4" max="4"/>
    <col width="19" customWidth="1" min="5" max="5"/>
    <col width="22" customWidth="1" min="6" max="6"/>
    <col width="22" customWidth="1" min="7" max="7"/>
    <col width="16" customWidth="1" min="8" max="8"/>
    <col width="16" customWidth="1" min="9" max="9"/>
    <col width="16" customWidth="1" min="10" max="10"/>
    <col width="22" customWidth="1" min="11" max="11"/>
    <col width="22" customWidth="1" min="12" max="12"/>
    <col width="16" customWidth="1" min="13" max="13"/>
    <col width="16" customWidth="1" min="14" max="14"/>
    <col width="16" customWidth="1" min="15" max="15"/>
    <col width="22" customWidth="1" min="16" max="16"/>
    <col width="22" customWidth="1" min="17" max="17"/>
    <col width="16" customWidth="1" min="18" max="18"/>
    <col width="16" customWidth="1" min="19" max="19"/>
    <col width="16" customWidth="1" min="20" max="20"/>
    <col width="22" customWidth="1" min="21" max="21"/>
    <col width="22" customWidth="1" min="22" max="22"/>
    <col width="16" customWidth="1" min="23" max="23"/>
    <col width="16" customWidth="1" min="24" max="24"/>
    <col width="16" customWidth="1" min="25" max="25"/>
    <col width="22" customWidth="1" min="26" max="26"/>
    <col width="22" customWidth="1" min="27" max="27"/>
    <col width="16" customWidth="1" min="28" max="28"/>
    <col width="17" customWidth="1" min="29" max="29"/>
    <col width="17" customWidth="1" min="30" max="30"/>
    <col width="22" customWidth="1" min="31" max="31"/>
    <col width="13" customWidth="1" min="32" max="32"/>
    <col width="22" customWidth="1" min="33" max="33"/>
    <col width="22" customWidth="1" min="34" max="34"/>
    <col width="22" customWidth="1" min="35" max="35"/>
  </cols>
  <sheetData>
    <row r="1">
      <c r="A1" s="15" t="inlineStr">
        <is>
          <t>Month</t>
        </is>
      </c>
      <c r="B1" s="15" t="inlineStr">
        <is>
          <t>MM Rate</t>
        </is>
      </c>
      <c r="C1" s="15" t="inlineStr">
        <is>
          <t>Prior Div Bal</t>
        </is>
      </c>
      <c r="D1" s="15" t="inlineStr">
        <is>
          <t>MM Interest</t>
        </is>
      </c>
      <c r="E1" s="15" t="inlineStr">
        <is>
          <t>Div Bal After Int</t>
        </is>
      </c>
      <c r="F1" s="15" t="inlineStr">
        <is>
          <t>XLK Invested</t>
        </is>
      </c>
      <c r="G1" s="15" t="inlineStr">
        <is>
          <t>XLK Shares</t>
        </is>
      </c>
      <c r="H1" s="15" t="inlineStr">
        <is>
          <t>XLK Cum Shares</t>
        </is>
      </c>
      <c r="I1" s="15" t="inlineStr">
        <is>
          <t>XLK Divs</t>
        </is>
      </c>
      <c r="J1" s="15" t="inlineStr">
        <is>
          <t>XLK Value</t>
        </is>
      </c>
      <c r="K1" s="15" t="inlineStr">
        <is>
          <t>XLV Invested</t>
        </is>
      </c>
      <c r="L1" s="15" t="inlineStr">
        <is>
          <t>XLV Shares</t>
        </is>
      </c>
      <c r="M1" s="15" t="inlineStr">
        <is>
          <t>XLV Cum Shares</t>
        </is>
      </c>
      <c r="N1" s="15" t="inlineStr">
        <is>
          <t>XLV Divs</t>
        </is>
      </c>
      <c r="O1" s="15" t="inlineStr">
        <is>
          <t>XLV Value</t>
        </is>
      </c>
      <c r="P1" s="15" t="inlineStr">
        <is>
          <t>XLF Invested</t>
        </is>
      </c>
      <c r="Q1" s="15" t="inlineStr">
        <is>
          <t>XLF Shares</t>
        </is>
      </c>
      <c r="R1" s="15" t="inlineStr">
        <is>
          <t>XLF Cum Shares</t>
        </is>
      </c>
      <c r="S1" s="15" t="inlineStr">
        <is>
          <t>XLF Divs</t>
        </is>
      </c>
      <c r="T1" s="15" t="inlineStr">
        <is>
          <t>XLF Value</t>
        </is>
      </c>
      <c r="U1" s="15" t="inlineStr">
        <is>
          <t>XLE Invested</t>
        </is>
      </c>
      <c r="V1" s="15" t="inlineStr">
        <is>
          <t>XLE Shares</t>
        </is>
      </c>
      <c r="W1" s="15" t="inlineStr">
        <is>
          <t>XLE Cum Shares</t>
        </is>
      </c>
      <c r="X1" s="15" t="inlineStr">
        <is>
          <t>XLE Divs</t>
        </is>
      </c>
      <c r="Y1" s="15" t="inlineStr">
        <is>
          <t>XLE Value</t>
        </is>
      </c>
      <c r="Z1" s="15" t="inlineStr">
        <is>
          <t>XLP Invested</t>
        </is>
      </c>
      <c r="AA1" s="15" t="inlineStr">
        <is>
          <t>XLP Shares</t>
        </is>
      </c>
      <c r="AB1" s="15" t="inlineStr">
        <is>
          <t>XLP Cum Shares</t>
        </is>
      </c>
      <c r="AC1" s="15" t="inlineStr">
        <is>
          <t>XLP Divs</t>
        </is>
      </c>
      <c r="AD1" s="15" t="inlineStr">
        <is>
          <t>XLP Value</t>
        </is>
      </c>
      <c r="AE1" s="15" t="inlineStr">
        <is>
          <t>Monthly Divs</t>
        </is>
      </c>
      <c r="AF1" s="15" t="inlineStr">
        <is>
          <t>Div Bal End</t>
        </is>
      </c>
      <c r="AG1" s="15" t="inlineStr">
        <is>
          <t>Cum Invested</t>
        </is>
      </c>
      <c r="AH1" s="15" t="inlineStr">
        <is>
          <t>Portfolio Value</t>
        </is>
      </c>
      <c r="AI1" s="15" t="inlineStr">
        <is>
          <t>MM-Only Bal</t>
        </is>
      </c>
    </row>
    <row r="2">
      <c r="A2" s="8">
        <f>Setup!A17</f>
        <v/>
      </c>
      <c r="B2" s="9">
        <f>Setup!B17</f>
        <v/>
      </c>
      <c r="C2" s="10" t="n">
        <v>0</v>
      </c>
      <c r="D2" s="16">
        <f>ROUND(C2*B2/12,2)</f>
        <v/>
      </c>
      <c r="E2" s="16">
        <f>C2+D2</f>
        <v/>
      </c>
      <c r="F2" s="16">
        <f>Setup!$B$3*Setup!$C$9</f>
        <v/>
      </c>
      <c r="G2" s="17">
        <f>IF(Setup!C17&gt;0,F2/Setup!C17,0)</f>
        <v/>
      </c>
      <c r="H2" s="17">
        <f>G2</f>
        <v/>
      </c>
      <c r="I2" s="16">
        <f>H2*Setup!E17</f>
        <v/>
      </c>
      <c r="J2" s="16">
        <f>H2*Setup!D17</f>
        <v/>
      </c>
      <c r="K2" s="16">
        <f>Setup!$B$3*Setup!$C$10</f>
        <v/>
      </c>
      <c r="L2" s="17">
        <f>IF(Setup!F17&gt;0,K2/Setup!F17,0)</f>
        <v/>
      </c>
      <c r="M2" s="17">
        <f>L2</f>
        <v/>
      </c>
      <c r="N2" s="16">
        <f>M2*Setup!H17</f>
        <v/>
      </c>
      <c r="O2" s="16">
        <f>M2*Setup!G17</f>
        <v/>
      </c>
      <c r="P2" s="16">
        <f>Setup!$B$3*Setup!$C$11</f>
        <v/>
      </c>
      <c r="Q2" s="17">
        <f>IF(Setup!I17&gt;0,P2/Setup!I17,0)</f>
        <v/>
      </c>
      <c r="R2" s="17">
        <f>Q2</f>
        <v/>
      </c>
      <c r="S2" s="16">
        <f>R2*Setup!K17</f>
        <v/>
      </c>
      <c r="T2" s="16">
        <f>R2*Setup!J17</f>
        <v/>
      </c>
      <c r="U2" s="16">
        <f>Setup!$B$3*Setup!$C$12</f>
        <v/>
      </c>
      <c r="V2" s="17">
        <f>IF(Setup!L17&gt;0,U2/Setup!L17,0)</f>
        <v/>
      </c>
      <c r="W2" s="17">
        <f>V2</f>
        <v/>
      </c>
      <c r="X2" s="16">
        <f>W2*Setup!N17</f>
        <v/>
      </c>
      <c r="Y2" s="16">
        <f>W2*Setup!M17</f>
        <v/>
      </c>
      <c r="Z2" s="16">
        <f>Setup!$B$3*Setup!$C$13</f>
        <v/>
      </c>
      <c r="AA2" s="17">
        <f>IF(Setup!O17&gt;0,Z2/Setup!O17,0)</f>
        <v/>
      </c>
      <c r="AB2" s="17">
        <f>AA2</f>
        <v/>
      </c>
      <c r="AC2" s="16">
        <f>AB2*Setup!Q17</f>
        <v/>
      </c>
      <c r="AD2" s="16">
        <f>AB2*Setup!P17</f>
        <v/>
      </c>
      <c r="AE2" s="16">
        <f>I2+N2+S2+X2+AC2</f>
        <v/>
      </c>
      <c r="AF2" s="16">
        <f>E2+AE2</f>
        <v/>
      </c>
      <c r="AG2" s="16">
        <f>F2+K2+P2+U2+Z2</f>
        <v/>
      </c>
      <c r="AH2" s="16">
        <f>J2+O2+T2+Y2+AD2</f>
        <v/>
      </c>
      <c r="AI2" s="16">
        <f>ROUND(0*(1+B2/12),2)+Setup!$B$3</f>
        <v/>
      </c>
    </row>
    <row r="3">
      <c r="A3" s="6">
        <f>Setup!A18</f>
        <v/>
      </c>
      <c r="B3" s="12">
        <f>Setup!B18</f>
        <v/>
      </c>
      <c r="C3" s="13">
        <f>AF2</f>
        <v/>
      </c>
      <c r="D3" s="18">
        <f>ROUND(C3*B3/12,2)</f>
        <v/>
      </c>
      <c r="E3" s="18">
        <f>C3+D3</f>
        <v/>
      </c>
      <c r="F3" s="18">
        <f>Setup!$B$3*Setup!$C$9</f>
        <v/>
      </c>
      <c r="G3" s="19">
        <f>IF(Setup!C18&gt;0,F3/Setup!C18,0)</f>
        <v/>
      </c>
      <c r="H3" s="19">
        <f>H2+G3</f>
        <v/>
      </c>
      <c r="I3" s="18">
        <f>H3*Setup!E18</f>
        <v/>
      </c>
      <c r="J3" s="18">
        <f>H3*Setup!D18</f>
        <v/>
      </c>
      <c r="K3" s="18">
        <f>Setup!$B$3*Setup!$C$10</f>
        <v/>
      </c>
      <c r="L3" s="19">
        <f>IF(Setup!F18&gt;0,K3/Setup!F18,0)</f>
        <v/>
      </c>
      <c r="M3" s="19">
        <f>M2+L3</f>
        <v/>
      </c>
      <c r="N3" s="18">
        <f>M3*Setup!H18</f>
        <v/>
      </c>
      <c r="O3" s="18">
        <f>M3*Setup!G18</f>
        <v/>
      </c>
      <c r="P3" s="18">
        <f>Setup!$B$3*Setup!$C$11</f>
        <v/>
      </c>
      <c r="Q3" s="19">
        <f>IF(Setup!I18&gt;0,P3/Setup!I18,0)</f>
        <v/>
      </c>
      <c r="R3" s="19">
        <f>R2+Q3</f>
        <v/>
      </c>
      <c r="S3" s="18">
        <f>R3*Setup!K18</f>
        <v/>
      </c>
      <c r="T3" s="18">
        <f>R3*Setup!J18</f>
        <v/>
      </c>
      <c r="U3" s="18">
        <f>Setup!$B$3*Setup!$C$12</f>
        <v/>
      </c>
      <c r="V3" s="19">
        <f>IF(Setup!L18&gt;0,U3/Setup!L18,0)</f>
        <v/>
      </c>
      <c r="W3" s="19">
        <f>W2+V3</f>
        <v/>
      </c>
      <c r="X3" s="18">
        <f>W3*Setup!N18</f>
        <v/>
      </c>
      <c r="Y3" s="18">
        <f>W3*Setup!M18</f>
        <v/>
      </c>
      <c r="Z3" s="18">
        <f>Setup!$B$3*Setup!$C$13</f>
        <v/>
      </c>
      <c r="AA3" s="19">
        <f>IF(Setup!O18&gt;0,Z3/Setup!O18,0)</f>
        <v/>
      </c>
      <c r="AB3" s="19">
        <f>AB2+AA3</f>
        <v/>
      </c>
      <c r="AC3" s="18">
        <f>AB3*Setup!Q18</f>
        <v/>
      </c>
      <c r="AD3" s="18">
        <f>AB3*Setup!P18</f>
        <v/>
      </c>
      <c r="AE3" s="18">
        <f>I3+N3+S3+X3+AC3</f>
        <v/>
      </c>
      <c r="AF3" s="18">
        <f>E3+AE3</f>
        <v/>
      </c>
      <c r="AG3" s="18">
        <f>AG2+F3+K3+P3+U3+Z3</f>
        <v/>
      </c>
      <c r="AH3" s="18">
        <f>J3+O3+T3+Y3+AD3</f>
        <v/>
      </c>
      <c r="AI3" s="18">
        <f>ROUND(AI2*(1+B3/12),2)+Setup!$B$3</f>
        <v/>
      </c>
    </row>
    <row r="4">
      <c r="A4" s="8">
        <f>Setup!A19</f>
        <v/>
      </c>
      <c r="B4" s="9">
        <f>Setup!B19</f>
        <v/>
      </c>
      <c r="C4" s="10">
        <f>AF3</f>
        <v/>
      </c>
      <c r="D4" s="16">
        <f>ROUND(C4*B4/12,2)</f>
        <v/>
      </c>
      <c r="E4" s="16">
        <f>C4+D4</f>
        <v/>
      </c>
      <c r="F4" s="16">
        <f>Setup!$B$3*Setup!$C$9</f>
        <v/>
      </c>
      <c r="G4" s="17">
        <f>IF(Setup!C19&gt;0,F4/Setup!C19,0)</f>
        <v/>
      </c>
      <c r="H4" s="17">
        <f>H3+G4</f>
        <v/>
      </c>
      <c r="I4" s="16">
        <f>H4*Setup!E19</f>
        <v/>
      </c>
      <c r="J4" s="16">
        <f>H4*Setup!D19</f>
        <v/>
      </c>
      <c r="K4" s="16">
        <f>Setup!$B$3*Setup!$C$10</f>
        <v/>
      </c>
      <c r="L4" s="17">
        <f>IF(Setup!F19&gt;0,K4/Setup!F19,0)</f>
        <v/>
      </c>
      <c r="M4" s="17">
        <f>M3+L4</f>
        <v/>
      </c>
      <c r="N4" s="16">
        <f>M4*Setup!H19</f>
        <v/>
      </c>
      <c r="O4" s="16">
        <f>M4*Setup!G19</f>
        <v/>
      </c>
      <c r="P4" s="16">
        <f>Setup!$B$3*Setup!$C$11</f>
        <v/>
      </c>
      <c r="Q4" s="17">
        <f>IF(Setup!I19&gt;0,P4/Setup!I19,0)</f>
        <v/>
      </c>
      <c r="R4" s="17">
        <f>R3+Q4</f>
        <v/>
      </c>
      <c r="S4" s="16">
        <f>R4*Setup!K19</f>
        <v/>
      </c>
      <c r="T4" s="16">
        <f>R4*Setup!J19</f>
        <v/>
      </c>
      <c r="U4" s="16">
        <f>Setup!$B$3*Setup!$C$12</f>
        <v/>
      </c>
      <c r="V4" s="17">
        <f>IF(Setup!L19&gt;0,U4/Setup!L19,0)</f>
        <v/>
      </c>
      <c r="W4" s="17">
        <f>W3+V4</f>
        <v/>
      </c>
      <c r="X4" s="16">
        <f>W4*Setup!N19</f>
        <v/>
      </c>
      <c r="Y4" s="16">
        <f>W4*Setup!M19</f>
        <v/>
      </c>
      <c r="Z4" s="16">
        <f>Setup!$B$3*Setup!$C$13</f>
        <v/>
      </c>
      <c r="AA4" s="17">
        <f>IF(Setup!O19&gt;0,Z4/Setup!O19,0)</f>
        <v/>
      </c>
      <c r="AB4" s="17">
        <f>AB3+AA4</f>
        <v/>
      </c>
      <c r="AC4" s="16">
        <f>AB4*Setup!Q19</f>
        <v/>
      </c>
      <c r="AD4" s="16">
        <f>AB4*Setup!P19</f>
        <v/>
      </c>
      <c r="AE4" s="16">
        <f>I4+N4+S4+X4+AC4</f>
        <v/>
      </c>
      <c r="AF4" s="16">
        <f>E4+AE4</f>
        <v/>
      </c>
      <c r="AG4" s="16">
        <f>AG3+F4+K4+P4+U4+Z4</f>
        <v/>
      </c>
      <c r="AH4" s="16">
        <f>J4+O4+T4+Y4+AD4</f>
        <v/>
      </c>
      <c r="AI4" s="16">
        <f>ROUND(AI3*(1+B4/12),2)+Setup!$B$3</f>
        <v/>
      </c>
    </row>
    <row r="5">
      <c r="A5" s="6">
        <f>Setup!A20</f>
        <v/>
      </c>
      <c r="B5" s="12">
        <f>Setup!B20</f>
        <v/>
      </c>
      <c r="C5" s="13">
        <f>AF4</f>
        <v/>
      </c>
      <c r="D5" s="18">
        <f>ROUND(C5*B5/12,2)</f>
        <v/>
      </c>
      <c r="E5" s="18">
        <f>C5+D5</f>
        <v/>
      </c>
      <c r="F5" s="18">
        <f>Setup!$B$3*Setup!$C$9</f>
        <v/>
      </c>
      <c r="G5" s="19">
        <f>IF(Setup!C20&gt;0,F5/Setup!C20,0)</f>
        <v/>
      </c>
      <c r="H5" s="19">
        <f>H4+G5</f>
        <v/>
      </c>
      <c r="I5" s="18">
        <f>H5*Setup!E20</f>
        <v/>
      </c>
      <c r="J5" s="18">
        <f>H5*Setup!D20</f>
        <v/>
      </c>
      <c r="K5" s="18">
        <f>Setup!$B$3*Setup!$C$10</f>
        <v/>
      </c>
      <c r="L5" s="19">
        <f>IF(Setup!F20&gt;0,K5/Setup!F20,0)</f>
        <v/>
      </c>
      <c r="M5" s="19">
        <f>M4+L5</f>
        <v/>
      </c>
      <c r="N5" s="18">
        <f>M5*Setup!H20</f>
        <v/>
      </c>
      <c r="O5" s="18">
        <f>M5*Setup!G20</f>
        <v/>
      </c>
      <c r="P5" s="18">
        <f>Setup!$B$3*Setup!$C$11</f>
        <v/>
      </c>
      <c r="Q5" s="19">
        <f>IF(Setup!I20&gt;0,P5/Setup!I20,0)</f>
        <v/>
      </c>
      <c r="R5" s="19">
        <f>R4+Q5</f>
        <v/>
      </c>
      <c r="S5" s="18">
        <f>R5*Setup!K20</f>
        <v/>
      </c>
      <c r="T5" s="18">
        <f>R5*Setup!J20</f>
        <v/>
      </c>
      <c r="U5" s="18">
        <f>Setup!$B$3*Setup!$C$12</f>
        <v/>
      </c>
      <c r="V5" s="19">
        <f>IF(Setup!L20&gt;0,U5/Setup!L20,0)</f>
        <v/>
      </c>
      <c r="W5" s="19">
        <f>W4+V5</f>
        <v/>
      </c>
      <c r="X5" s="18">
        <f>W5*Setup!N20</f>
        <v/>
      </c>
      <c r="Y5" s="18">
        <f>W5*Setup!M20</f>
        <v/>
      </c>
      <c r="Z5" s="18">
        <f>Setup!$B$3*Setup!$C$13</f>
        <v/>
      </c>
      <c r="AA5" s="19">
        <f>IF(Setup!O20&gt;0,Z5/Setup!O20,0)</f>
        <v/>
      </c>
      <c r="AB5" s="19">
        <f>AB4+AA5</f>
        <v/>
      </c>
      <c r="AC5" s="18">
        <f>AB5*Setup!Q20</f>
        <v/>
      </c>
      <c r="AD5" s="18">
        <f>AB5*Setup!P20</f>
        <v/>
      </c>
      <c r="AE5" s="18">
        <f>I5+N5+S5+X5+AC5</f>
        <v/>
      </c>
      <c r="AF5" s="18">
        <f>E5+AE5</f>
        <v/>
      </c>
      <c r="AG5" s="18">
        <f>AG4+F5+K5+P5+U5+Z5</f>
        <v/>
      </c>
      <c r="AH5" s="18">
        <f>J5+O5+T5+Y5+AD5</f>
        <v/>
      </c>
      <c r="AI5" s="18">
        <f>ROUND(AI4*(1+B5/12),2)+Setup!$B$3</f>
        <v/>
      </c>
    </row>
    <row r="6">
      <c r="A6" s="8">
        <f>Setup!A21</f>
        <v/>
      </c>
      <c r="B6" s="9">
        <f>Setup!B21</f>
        <v/>
      </c>
      <c r="C6" s="10">
        <f>AF5</f>
        <v/>
      </c>
      <c r="D6" s="16">
        <f>ROUND(C6*B6/12,2)</f>
        <v/>
      </c>
      <c r="E6" s="16">
        <f>C6+D6</f>
        <v/>
      </c>
      <c r="F6" s="16">
        <f>Setup!$B$3*Setup!$C$9</f>
        <v/>
      </c>
      <c r="G6" s="17">
        <f>IF(Setup!C21&gt;0,F6/Setup!C21,0)</f>
        <v/>
      </c>
      <c r="H6" s="17">
        <f>H5+G6</f>
        <v/>
      </c>
      <c r="I6" s="16">
        <f>H6*Setup!E21</f>
        <v/>
      </c>
      <c r="J6" s="16">
        <f>H6*Setup!D21</f>
        <v/>
      </c>
      <c r="K6" s="16">
        <f>Setup!$B$3*Setup!$C$10</f>
        <v/>
      </c>
      <c r="L6" s="17">
        <f>IF(Setup!F21&gt;0,K6/Setup!F21,0)</f>
        <v/>
      </c>
      <c r="M6" s="17">
        <f>M5+L6</f>
        <v/>
      </c>
      <c r="N6" s="16">
        <f>M6*Setup!H21</f>
        <v/>
      </c>
      <c r="O6" s="16">
        <f>M6*Setup!G21</f>
        <v/>
      </c>
      <c r="P6" s="16">
        <f>Setup!$B$3*Setup!$C$11</f>
        <v/>
      </c>
      <c r="Q6" s="17">
        <f>IF(Setup!I21&gt;0,P6/Setup!I21,0)</f>
        <v/>
      </c>
      <c r="R6" s="17">
        <f>R5+Q6</f>
        <v/>
      </c>
      <c r="S6" s="16">
        <f>R6*Setup!K21</f>
        <v/>
      </c>
      <c r="T6" s="16">
        <f>R6*Setup!J21</f>
        <v/>
      </c>
      <c r="U6" s="16">
        <f>Setup!$B$3*Setup!$C$12</f>
        <v/>
      </c>
      <c r="V6" s="17">
        <f>IF(Setup!L21&gt;0,U6/Setup!L21,0)</f>
        <v/>
      </c>
      <c r="W6" s="17">
        <f>W5+V6</f>
        <v/>
      </c>
      <c r="X6" s="16">
        <f>W6*Setup!N21</f>
        <v/>
      </c>
      <c r="Y6" s="16">
        <f>W6*Setup!M21</f>
        <v/>
      </c>
      <c r="Z6" s="16">
        <f>Setup!$B$3*Setup!$C$13</f>
        <v/>
      </c>
      <c r="AA6" s="17">
        <f>IF(Setup!O21&gt;0,Z6/Setup!O21,0)</f>
        <v/>
      </c>
      <c r="AB6" s="17">
        <f>AB5+AA6</f>
        <v/>
      </c>
      <c r="AC6" s="16">
        <f>AB6*Setup!Q21</f>
        <v/>
      </c>
      <c r="AD6" s="16">
        <f>AB6*Setup!P21</f>
        <v/>
      </c>
      <c r="AE6" s="16">
        <f>I6+N6+S6+X6+AC6</f>
        <v/>
      </c>
      <c r="AF6" s="16">
        <f>E6+AE6</f>
        <v/>
      </c>
      <c r="AG6" s="16">
        <f>AG5+F6+K6+P6+U6+Z6</f>
        <v/>
      </c>
      <c r="AH6" s="16">
        <f>J6+O6+T6+Y6+AD6</f>
        <v/>
      </c>
      <c r="AI6" s="16">
        <f>ROUND(AI5*(1+B6/12),2)+Setup!$B$3</f>
        <v/>
      </c>
    </row>
    <row r="7">
      <c r="A7" s="6">
        <f>Setup!A22</f>
        <v/>
      </c>
      <c r="B7" s="12">
        <f>Setup!B22</f>
        <v/>
      </c>
      <c r="C7" s="13">
        <f>AF6</f>
        <v/>
      </c>
      <c r="D7" s="18">
        <f>ROUND(C7*B7/12,2)</f>
        <v/>
      </c>
      <c r="E7" s="18">
        <f>C7+D7</f>
        <v/>
      </c>
      <c r="F7" s="18">
        <f>Setup!$B$3*Setup!$C$9</f>
        <v/>
      </c>
      <c r="G7" s="19">
        <f>IF(Setup!C22&gt;0,F7/Setup!C22,0)</f>
        <v/>
      </c>
      <c r="H7" s="19">
        <f>H6+G7</f>
        <v/>
      </c>
      <c r="I7" s="18">
        <f>H7*Setup!E22</f>
        <v/>
      </c>
      <c r="J7" s="18">
        <f>H7*Setup!D22</f>
        <v/>
      </c>
      <c r="K7" s="18">
        <f>Setup!$B$3*Setup!$C$10</f>
        <v/>
      </c>
      <c r="L7" s="19">
        <f>IF(Setup!F22&gt;0,K7/Setup!F22,0)</f>
        <v/>
      </c>
      <c r="M7" s="19">
        <f>M6+L7</f>
        <v/>
      </c>
      <c r="N7" s="18">
        <f>M7*Setup!H22</f>
        <v/>
      </c>
      <c r="O7" s="18">
        <f>M7*Setup!G22</f>
        <v/>
      </c>
      <c r="P7" s="18">
        <f>Setup!$B$3*Setup!$C$11</f>
        <v/>
      </c>
      <c r="Q7" s="19">
        <f>IF(Setup!I22&gt;0,P7/Setup!I22,0)</f>
        <v/>
      </c>
      <c r="R7" s="19">
        <f>R6+Q7</f>
        <v/>
      </c>
      <c r="S7" s="18">
        <f>R7*Setup!K22</f>
        <v/>
      </c>
      <c r="T7" s="18">
        <f>R7*Setup!J22</f>
        <v/>
      </c>
      <c r="U7" s="18">
        <f>Setup!$B$3*Setup!$C$12</f>
        <v/>
      </c>
      <c r="V7" s="19">
        <f>IF(Setup!L22&gt;0,U7/Setup!L22,0)</f>
        <v/>
      </c>
      <c r="W7" s="19">
        <f>W6+V7</f>
        <v/>
      </c>
      <c r="X7" s="18">
        <f>W7*Setup!N22</f>
        <v/>
      </c>
      <c r="Y7" s="18">
        <f>W7*Setup!M22</f>
        <v/>
      </c>
      <c r="Z7" s="18">
        <f>Setup!$B$3*Setup!$C$13</f>
        <v/>
      </c>
      <c r="AA7" s="19">
        <f>IF(Setup!O22&gt;0,Z7/Setup!O22,0)</f>
        <v/>
      </c>
      <c r="AB7" s="19">
        <f>AB6+AA7</f>
        <v/>
      </c>
      <c r="AC7" s="18">
        <f>AB7*Setup!Q22</f>
        <v/>
      </c>
      <c r="AD7" s="18">
        <f>AB7*Setup!P22</f>
        <v/>
      </c>
      <c r="AE7" s="18">
        <f>I7+N7+S7+X7+AC7</f>
        <v/>
      </c>
      <c r="AF7" s="18">
        <f>E7+AE7</f>
        <v/>
      </c>
      <c r="AG7" s="18">
        <f>AG6+F7+K7+P7+U7+Z7</f>
        <v/>
      </c>
      <c r="AH7" s="18">
        <f>J7+O7+T7+Y7+AD7</f>
        <v/>
      </c>
      <c r="AI7" s="18">
        <f>ROUND(AI6*(1+B7/12),2)+Setup!$B$3</f>
        <v/>
      </c>
    </row>
    <row r="8">
      <c r="A8" s="8">
        <f>Setup!A23</f>
        <v/>
      </c>
      <c r="B8" s="9">
        <f>Setup!B23</f>
        <v/>
      </c>
      <c r="C8" s="10">
        <f>AF7</f>
        <v/>
      </c>
      <c r="D8" s="16">
        <f>ROUND(C8*B8/12,2)</f>
        <v/>
      </c>
      <c r="E8" s="16">
        <f>C8+D8</f>
        <v/>
      </c>
      <c r="F8" s="16">
        <f>Setup!$B$3*Setup!$C$9</f>
        <v/>
      </c>
      <c r="G8" s="17">
        <f>IF(Setup!C23&gt;0,F8/Setup!C23,0)</f>
        <v/>
      </c>
      <c r="H8" s="17">
        <f>H7+G8</f>
        <v/>
      </c>
      <c r="I8" s="16">
        <f>H8*Setup!E23</f>
        <v/>
      </c>
      <c r="J8" s="16">
        <f>H8*Setup!D23</f>
        <v/>
      </c>
      <c r="K8" s="16">
        <f>Setup!$B$3*Setup!$C$10</f>
        <v/>
      </c>
      <c r="L8" s="17">
        <f>IF(Setup!F23&gt;0,K8/Setup!F23,0)</f>
        <v/>
      </c>
      <c r="M8" s="17">
        <f>M7+L8</f>
        <v/>
      </c>
      <c r="N8" s="16">
        <f>M8*Setup!H23</f>
        <v/>
      </c>
      <c r="O8" s="16">
        <f>M8*Setup!G23</f>
        <v/>
      </c>
      <c r="P8" s="16">
        <f>Setup!$B$3*Setup!$C$11</f>
        <v/>
      </c>
      <c r="Q8" s="17">
        <f>IF(Setup!I23&gt;0,P8/Setup!I23,0)</f>
        <v/>
      </c>
      <c r="R8" s="17">
        <f>R7+Q8</f>
        <v/>
      </c>
      <c r="S8" s="16">
        <f>R8*Setup!K23</f>
        <v/>
      </c>
      <c r="T8" s="16">
        <f>R8*Setup!J23</f>
        <v/>
      </c>
      <c r="U8" s="16">
        <f>Setup!$B$3*Setup!$C$12</f>
        <v/>
      </c>
      <c r="V8" s="17">
        <f>IF(Setup!L23&gt;0,U8/Setup!L23,0)</f>
        <v/>
      </c>
      <c r="W8" s="17">
        <f>W7+V8</f>
        <v/>
      </c>
      <c r="X8" s="16">
        <f>W8*Setup!N23</f>
        <v/>
      </c>
      <c r="Y8" s="16">
        <f>W8*Setup!M23</f>
        <v/>
      </c>
      <c r="Z8" s="16">
        <f>Setup!$B$3*Setup!$C$13</f>
        <v/>
      </c>
      <c r="AA8" s="17">
        <f>IF(Setup!O23&gt;0,Z8/Setup!O23,0)</f>
        <v/>
      </c>
      <c r="AB8" s="17">
        <f>AB7+AA8</f>
        <v/>
      </c>
      <c r="AC8" s="16">
        <f>AB8*Setup!Q23</f>
        <v/>
      </c>
      <c r="AD8" s="16">
        <f>AB8*Setup!P23</f>
        <v/>
      </c>
      <c r="AE8" s="16">
        <f>I8+N8+S8+X8+AC8</f>
        <v/>
      </c>
      <c r="AF8" s="16">
        <f>E8+AE8</f>
        <v/>
      </c>
      <c r="AG8" s="16">
        <f>AG7+F8+K8+P8+U8+Z8</f>
        <v/>
      </c>
      <c r="AH8" s="16">
        <f>J8+O8+T8+Y8+AD8</f>
        <v/>
      </c>
      <c r="AI8" s="16">
        <f>ROUND(AI7*(1+B8/12),2)+Setup!$B$3</f>
        <v/>
      </c>
    </row>
    <row r="9">
      <c r="A9" s="6">
        <f>Setup!A24</f>
        <v/>
      </c>
      <c r="B9" s="12">
        <f>Setup!B24</f>
        <v/>
      </c>
      <c r="C9" s="13">
        <f>AF8</f>
        <v/>
      </c>
      <c r="D9" s="18">
        <f>ROUND(C9*B9/12,2)</f>
        <v/>
      </c>
      <c r="E9" s="18">
        <f>C9+D9</f>
        <v/>
      </c>
      <c r="F9" s="18">
        <f>Setup!$B$3*Setup!$C$9</f>
        <v/>
      </c>
      <c r="G9" s="19">
        <f>IF(Setup!C24&gt;0,F9/Setup!C24,0)</f>
        <v/>
      </c>
      <c r="H9" s="19">
        <f>H8+G9</f>
        <v/>
      </c>
      <c r="I9" s="18">
        <f>H9*Setup!E24</f>
        <v/>
      </c>
      <c r="J9" s="18">
        <f>H9*Setup!D24</f>
        <v/>
      </c>
      <c r="K9" s="18">
        <f>Setup!$B$3*Setup!$C$10</f>
        <v/>
      </c>
      <c r="L9" s="19">
        <f>IF(Setup!F24&gt;0,K9/Setup!F24,0)</f>
        <v/>
      </c>
      <c r="M9" s="19">
        <f>M8+L9</f>
        <v/>
      </c>
      <c r="N9" s="18">
        <f>M9*Setup!H24</f>
        <v/>
      </c>
      <c r="O9" s="18">
        <f>M9*Setup!G24</f>
        <v/>
      </c>
      <c r="P9" s="18">
        <f>Setup!$B$3*Setup!$C$11</f>
        <v/>
      </c>
      <c r="Q9" s="19">
        <f>IF(Setup!I24&gt;0,P9/Setup!I24,0)</f>
        <v/>
      </c>
      <c r="R9" s="19">
        <f>R8+Q9</f>
        <v/>
      </c>
      <c r="S9" s="18">
        <f>R9*Setup!K24</f>
        <v/>
      </c>
      <c r="T9" s="18">
        <f>R9*Setup!J24</f>
        <v/>
      </c>
      <c r="U9" s="18">
        <f>Setup!$B$3*Setup!$C$12</f>
        <v/>
      </c>
      <c r="V9" s="19">
        <f>IF(Setup!L24&gt;0,U9/Setup!L24,0)</f>
        <v/>
      </c>
      <c r="W9" s="19">
        <f>W8+V9</f>
        <v/>
      </c>
      <c r="X9" s="18">
        <f>W9*Setup!N24</f>
        <v/>
      </c>
      <c r="Y9" s="18">
        <f>W9*Setup!M24</f>
        <v/>
      </c>
      <c r="Z9" s="18">
        <f>Setup!$B$3*Setup!$C$13</f>
        <v/>
      </c>
      <c r="AA9" s="19">
        <f>IF(Setup!O24&gt;0,Z9/Setup!O24,0)</f>
        <v/>
      </c>
      <c r="AB9" s="19">
        <f>AB8+AA9</f>
        <v/>
      </c>
      <c r="AC9" s="18">
        <f>AB9*Setup!Q24</f>
        <v/>
      </c>
      <c r="AD9" s="18">
        <f>AB9*Setup!P24</f>
        <v/>
      </c>
      <c r="AE9" s="18">
        <f>I9+N9+S9+X9+AC9</f>
        <v/>
      </c>
      <c r="AF9" s="18">
        <f>E9+AE9</f>
        <v/>
      </c>
      <c r="AG9" s="18">
        <f>AG8+F9+K9+P9+U9+Z9</f>
        <v/>
      </c>
      <c r="AH9" s="18">
        <f>J9+O9+T9+Y9+AD9</f>
        <v/>
      </c>
      <c r="AI9" s="18">
        <f>ROUND(AI8*(1+B9/12),2)+Setup!$B$3</f>
        <v/>
      </c>
    </row>
    <row r="10">
      <c r="A10" s="8">
        <f>Setup!A25</f>
        <v/>
      </c>
      <c r="B10" s="9">
        <f>Setup!B25</f>
        <v/>
      </c>
      <c r="C10" s="10">
        <f>AF9</f>
        <v/>
      </c>
      <c r="D10" s="16">
        <f>ROUND(C10*B10/12,2)</f>
        <v/>
      </c>
      <c r="E10" s="16">
        <f>C10+D10</f>
        <v/>
      </c>
      <c r="F10" s="16">
        <f>Setup!$B$3*Setup!$C$9</f>
        <v/>
      </c>
      <c r="G10" s="17">
        <f>IF(Setup!C25&gt;0,F10/Setup!C25,0)</f>
        <v/>
      </c>
      <c r="H10" s="17">
        <f>H9+G10</f>
        <v/>
      </c>
      <c r="I10" s="16">
        <f>H10*Setup!E25</f>
        <v/>
      </c>
      <c r="J10" s="16">
        <f>H10*Setup!D25</f>
        <v/>
      </c>
      <c r="K10" s="16">
        <f>Setup!$B$3*Setup!$C$10</f>
        <v/>
      </c>
      <c r="L10" s="17">
        <f>IF(Setup!F25&gt;0,K10/Setup!F25,0)</f>
        <v/>
      </c>
      <c r="M10" s="17">
        <f>M9+L10</f>
        <v/>
      </c>
      <c r="N10" s="16">
        <f>M10*Setup!H25</f>
        <v/>
      </c>
      <c r="O10" s="16">
        <f>M10*Setup!G25</f>
        <v/>
      </c>
      <c r="P10" s="16">
        <f>Setup!$B$3*Setup!$C$11</f>
        <v/>
      </c>
      <c r="Q10" s="17">
        <f>IF(Setup!I25&gt;0,P10/Setup!I25,0)</f>
        <v/>
      </c>
      <c r="R10" s="17">
        <f>R9+Q10</f>
        <v/>
      </c>
      <c r="S10" s="16">
        <f>R10*Setup!K25</f>
        <v/>
      </c>
      <c r="T10" s="16">
        <f>R10*Setup!J25</f>
        <v/>
      </c>
      <c r="U10" s="16">
        <f>Setup!$B$3*Setup!$C$12</f>
        <v/>
      </c>
      <c r="V10" s="17">
        <f>IF(Setup!L25&gt;0,U10/Setup!L25,0)</f>
        <v/>
      </c>
      <c r="W10" s="17">
        <f>W9+V10</f>
        <v/>
      </c>
      <c r="X10" s="16">
        <f>W10*Setup!N25</f>
        <v/>
      </c>
      <c r="Y10" s="16">
        <f>W10*Setup!M25</f>
        <v/>
      </c>
      <c r="Z10" s="16">
        <f>Setup!$B$3*Setup!$C$13</f>
        <v/>
      </c>
      <c r="AA10" s="17">
        <f>IF(Setup!O25&gt;0,Z10/Setup!O25,0)</f>
        <v/>
      </c>
      <c r="AB10" s="17">
        <f>AB9+AA10</f>
        <v/>
      </c>
      <c r="AC10" s="16">
        <f>AB10*Setup!Q25</f>
        <v/>
      </c>
      <c r="AD10" s="16">
        <f>AB10*Setup!P25</f>
        <v/>
      </c>
      <c r="AE10" s="16">
        <f>I10+N10+S10+X10+AC10</f>
        <v/>
      </c>
      <c r="AF10" s="16">
        <f>E10+AE10</f>
        <v/>
      </c>
      <c r="AG10" s="16">
        <f>AG9+F10+K10+P10+U10+Z10</f>
        <v/>
      </c>
      <c r="AH10" s="16">
        <f>J10+O10+T10+Y10+AD10</f>
        <v/>
      </c>
      <c r="AI10" s="16">
        <f>ROUND(AI9*(1+B10/12),2)+Setup!$B$3</f>
        <v/>
      </c>
    </row>
    <row r="11">
      <c r="A11" s="6">
        <f>Setup!A26</f>
        <v/>
      </c>
      <c r="B11" s="12">
        <f>Setup!B26</f>
        <v/>
      </c>
      <c r="C11" s="13">
        <f>AF10</f>
        <v/>
      </c>
      <c r="D11" s="18">
        <f>ROUND(C11*B11/12,2)</f>
        <v/>
      </c>
      <c r="E11" s="18">
        <f>C11+D11</f>
        <v/>
      </c>
      <c r="F11" s="18">
        <f>Setup!$B$3*Setup!$C$9</f>
        <v/>
      </c>
      <c r="G11" s="19">
        <f>IF(Setup!C26&gt;0,F11/Setup!C26,0)</f>
        <v/>
      </c>
      <c r="H11" s="19">
        <f>H10+G11</f>
        <v/>
      </c>
      <c r="I11" s="18">
        <f>H11*Setup!E26</f>
        <v/>
      </c>
      <c r="J11" s="18">
        <f>H11*Setup!D26</f>
        <v/>
      </c>
      <c r="K11" s="18">
        <f>Setup!$B$3*Setup!$C$10</f>
        <v/>
      </c>
      <c r="L11" s="19">
        <f>IF(Setup!F26&gt;0,K11/Setup!F26,0)</f>
        <v/>
      </c>
      <c r="M11" s="19">
        <f>M10+L11</f>
        <v/>
      </c>
      <c r="N11" s="18">
        <f>M11*Setup!H26</f>
        <v/>
      </c>
      <c r="O11" s="18">
        <f>M11*Setup!G26</f>
        <v/>
      </c>
      <c r="P11" s="18">
        <f>Setup!$B$3*Setup!$C$11</f>
        <v/>
      </c>
      <c r="Q11" s="19">
        <f>IF(Setup!I26&gt;0,P11/Setup!I26,0)</f>
        <v/>
      </c>
      <c r="R11" s="19">
        <f>R10+Q11</f>
        <v/>
      </c>
      <c r="S11" s="18">
        <f>R11*Setup!K26</f>
        <v/>
      </c>
      <c r="T11" s="18">
        <f>R11*Setup!J26</f>
        <v/>
      </c>
      <c r="U11" s="18">
        <f>Setup!$B$3*Setup!$C$12</f>
        <v/>
      </c>
      <c r="V11" s="19">
        <f>IF(Setup!L26&gt;0,U11/Setup!L26,0)</f>
        <v/>
      </c>
      <c r="W11" s="19">
        <f>W10+V11</f>
        <v/>
      </c>
      <c r="X11" s="18">
        <f>W11*Setup!N26</f>
        <v/>
      </c>
      <c r="Y11" s="18">
        <f>W11*Setup!M26</f>
        <v/>
      </c>
      <c r="Z11" s="18">
        <f>Setup!$B$3*Setup!$C$13</f>
        <v/>
      </c>
      <c r="AA11" s="19">
        <f>IF(Setup!O26&gt;0,Z11/Setup!O26,0)</f>
        <v/>
      </c>
      <c r="AB11" s="19">
        <f>AB10+AA11</f>
        <v/>
      </c>
      <c r="AC11" s="18">
        <f>AB11*Setup!Q26</f>
        <v/>
      </c>
      <c r="AD11" s="18">
        <f>AB11*Setup!P26</f>
        <v/>
      </c>
      <c r="AE11" s="18">
        <f>I11+N11+S11+X11+AC11</f>
        <v/>
      </c>
      <c r="AF11" s="18">
        <f>E11+AE11</f>
        <v/>
      </c>
      <c r="AG11" s="18">
        <f>AG10+F11+K11+P11+U11+Z11</f>
        <v/>
      </c>
      <c r="AH11" s="18">
        <f>J11+O11+T11+Y11+AD11</f>
        <v/>
      </c>
      <c r="AI11" s="18">
        <f>ROUND(AI10*(1+B11/12),2)+Setup!$B$3</f>
        <v/>
      </c>
    </row>
    <row r="12">
      <c r="A12" s="8">
        <f>Setup!A27</f>
        <v/>
      </c>
      <c r="B12" s="9">
        <f>Setup!B27</f>
        <v/>
      </c>
      <c r="C12" s="10">
        <f>AF11</f>
        <v/>
      </c>
      <c r="D12" s="16">
        <f>ROUND(C12*B12/12,2)</f>
        <v/>
      </c>
      <c r="E12" s="16">
        <f>C12+D12</f>
        <v/>
      </c>
      <c r="F12" s="16">
        <f>Setup!$B$3*Setup!$C$9</f>
        <v/>
      </c>
      <c r="G12" s="17">
        <f>IF(Setup!C27&gt;0,F12/Setup!C27,0)</f>
        <v/>
      </c>
      <c r="H12" s="17">
        <f>H11+G12</f>
        <v/>
      </c>
      <c r="I12" s="16">
        <f>H12*Setup!E27</f>
        <v/>
      </c>
      <c r="J12" s="16">
        <f>H12*Setup!D27</f>
        <v/>
      </c>
      <c r="K12" s="16">
        <f>Setup!$B$3*Setup!$C$10</f>
        <v/>
      </c>
      <c r="L12" s="17">
        <f>IF(Setup!F27&gt;0,K12/Setup!F27,0)</f>
        <v/>
      </c>
      <c r="M12" s="17">
        <f>M11+L12</f>
        <v/>
      </c>
      <c r="N12" s="16">
        <f>M12*Setup!H27</f>
        <v/>
      </c>
      <c r="O12" s="16">
        <f>M12*Setup!G27</f>
        <v/>
      </c>
      <c r="P12" s="16">
        <f>Setup!$B$3*Setup!$C$11</f>
        <v/>
      </c>
      <c r="Q12" s="17">
        <f>IF(Setup!I27&gt;0,P12/Setup!I27,0)</f>
        <v/>
      </c>
      <c r="R12" s="17">
        <f>R11+Q12</f>
        <v/>
      </c>
      <c r="S12" s="16">
        <f>R12*Setup!K27</f>
        <v/>
      </c>
      <c r="T12" s="16">
        <f>R12*Setup!J27</f>
        <v/>
      </c>
      <c r="U12" s="16">
        <f>Setup!$B$3*Setup!$C$12</f>
        <v/>
      </c>
      <c r="V12" s="17">
        <f>IF(Setup!L27&gt;0,U12/Setup!L27,0)</f>
        <v/>
      </c>
      <c r="W12" s="17">
        <f>W11+V12</f>
        <v/>
      </c>
      <c r="X12" s="16">
        <f>W12*Setup!N27</f>
        <v/>
      </c>
      <c r="Y12" s="16">
        <f>W12*Setup!M27</f>
        <v/>
      </c>
      <c r="Z12" s="16">
        <f>Setup!$B$3*Setup!$C$13</f>
        <v/>
      </c>
      <c r="AA12" s="17">
        <f>IF(Setup!O27&gt;0,Z12/Setup!O27,0)</f>
        <v/>
      </c>
      <c r="AB12" s="17">
        <f>AB11+AA12</f>
        <v/>
      </c>
      <c r="AC12" s="16">
        <f>AB12*Setup!Q27</f>
        <v/>
      </c>
      <c r="AD12" s="16">
        <f>AB12*Setup!P27</f>
        <v/>
      </c>
      <c r="AE12" s="16">
        <f>I12+N12+S12+X12+AC12</f>
        <v/>
      </c>
      <c r="AF12" s="16">
        <f>E12+AE12</f>
        <v/>
      </c>
      <c r="AG12" s="16">
        <f>AG11+F12+K12+P12+U12+Z12</f>
        <v/>
      </c>
      <c r="AH12" s="16">
        <f>J12+O12+T12+Y12+AD12</f>
        <v/>
      </c>
      <c r="AI12" s="16">
        <f>ROUND(AI11*(1+B12/12),2)+Setup!$B$3</f>
        <v/>
      </c>
    </row>
    <row r="13">
      <c r="A13" s="6">
        <f>Setup!A28</f>
        <v/>
      </c>
      <c r="B13" s="12">
        <f>Setup!B28</f>
        <v/>
      </c>
      <c r="C13" s="13">
        <f>AF12</f>
        <v/>
      </c>
      <c r="D13" s="18">
        <f>ROUND(C13*B13/12,2)</f>
        <v/>
      </c>
      <c r="E13" s="18">
        <f>C13+D13</f>
        <v/>
      </c>
      <c r="F13" s="18">
        <f>Setup!$B$3*Setup!$C$9</f>
        <v/>
      </c>
      <c r="G13" s="19">
        <f>IF(Setup!C28&gt;0,F13/Setup!C28,0)</f>
        <v/>
      </c>
      <c r="H13" s="19">
        <f>H12+G13</f>
        <v/>
      </c>
      <c r="I13" s="18">
        <f>H13*Setup!E28</f>
        <v/>
      </c>
      <c r="J13" s="18">
        <f>H13*Setup!D28</f>
        <v/>
      </c>
      <c r="K13" s="18">
        <f>Setup!$B$3*Setup!$C$10</f>
        <v/>
      </c>
      <c r="L13" s="19">
        <f>IF(Setup!F28&gt;0,K13/Setup!F28,0)</f>
        <v/>
      </c>
      <c r="M13" s="19">
        <f>M12+L13</f>
        <v/>
      </c>
      <c r="N13" s="18">
        <f>M13*Setup!H28</f>
        <v/>
      </c>
      <c r="O13" s="18">
        <f>M13*Setup!G28</f>
        <v/>
      </c>
      <c r="P13" s="18">
        <f>Setup!$B$3*Setup!$C$11</f>
        <v/>
      </c>
      <c r="Q13" s="19">
        <f>IF(Setup!I28&gt;0,P13/Setup!I28,0)</f>
        <v/>
      </c>
      <c r="R13" s="19">
        <f>R12+Q13</f>
        <v/>
      </c>
      <c r="S13" s="18">
        <f>R13*Setup!K28</f>
        <v/>
      </c>
      <c r="T13" s="18">
        <f>R13*Setup!J28</f>
        <v/>
      </c>
      <c r="U13" s="18">
        <f>Setup!$B$3*Setup!$C$12</f>
        <v/>
      </c>
      <c r="V13" s="19">
        <f>IF(Setup!L28&gt;0,U13/Setup!L28,0)</f>
        <v/>
      </c>
      <c r="W13" s="19">
        <f>W12+V13</f>
        <v/>
      </c>
      <c r="X13" s="18">
        <f>W13*Setup!N28</f>
        <v/>
      </c>
      <c r="Y13" s="18">
        <f>W13*Setup!M28</f>
        <v/>
      </c>
      <c r="Z13" s="18">
        <f>Setup!$B$3*Setup!$C$13</f>
        <v/>
      </c>
      <c r="AA13" s="19">
        <f>IF(Setup!O28&gt;0,Z13/Setup!O28,0)</f>
        <v/>
      </c>
      <c r="AB13" s="19">
        <f>AB12+AA13</f>
        <v/>
      </c>
      <c r="AC13" s="18">
        <f>AB13*Setup!Q28</f>
        <v/>
      </c>
      <c r="AD13" s="18">
        <f>AB13*Setup!P28</f>
        <v/>
      </c>
      <c r="AE13" s="18">
        <f>I13+N13+S13+X13+AC13</f>
        <v/>
      </c>
      <c r="AF13" s="18">
        <f>E13+AE13</f>
        <v/>
      </c>
      <c r="AG13" s="18">
        <f>AG12+F13+K13+P13+U13+Z13</f>
        <v/>
      </c>
      <c r="AH13" s="18">
        <f>J13+O13+T13+Y13+AD13</f>
        <v/>
      </c>
      <c r="AI13" s="18">
        <f>ROUND(AI12*(1+B13/12),2)+Setup!$B$3</f>
        <v/>
      </c>
    </row>
    <row r="14">
      <c r="A14" s="8">
        <f>Setup!A29</f>
        <v/>
      </c>
      <c r="B14" s="9">
        <f>Setup!B29</f>
        <v/>
      </c>
      <c r="C14" s="10">
        <f>AF13</f>
        <v/>
      </c>
      <c r="D14" s="16">
        <f>ROUND(C14*B14/12,2)</f>
        <v/>
      </c>
      <c r="E14" s="16">
        <f>C14+D14</f>
        <v/>
      </c>
      <c r="F14" s="16">
        <f>Setup!$B$3*Setup!$C$9</f>
        <v/>
      </c>
      <c r="G14" s="17">
        <f>IF(Setup!C29&gt;0,F14/Setup!C29,0)</f>
        <v/>
      </c>
      <c r="H14" s="17">
        <f>H13+G14</f>
        <v/>
      </c>
      <c r="I14" s="16">
        <f>H14*Setup!E29</f>
        <v/>
      </c>
      <c r="J14" s="16">
        <f>H14*Setup!D29</f>
        <v/>
      </c>
      <c r="K14" s="16">
        <f>Setup!$B$3*Setup!$C$10</f>
        <v/>
      </c>
      <c r="L14" s="17">
        <f>IF(Setup!F29&gt;0,K14/Setup!F29,0)</f>
        <v/>
      </c>
      <c r="M14" s="17">
        <f>M13+L14</f>
        <v/>
      </c>
      <c r="N14" s="16">
        <f>M14*Setup!H29</f>
        <v/>
      </c>
      <c r="O14" s="16">
        <f>M14*Setup!G29</f>
        <v/>
      </c>
      <c r="P14" s="16">
        <f>Setup!$B$3*Setup!$C$11</f>
        <v/>
      </c>
      <c r="Q14" s="17">
        <f>IF(Setup!I29&gt;0,P14/Setup!I29,0)</f>
        <v/>
      </c>
      <c r="R14" s="17">
        <f>R13+Q14</f>
        <v/>
      </c>
      <c r="S14" s="16">
        <f>R14*Setup!K29</f>
        <v/>
      </c>
      <c r="T14" s="16">
        <f>R14*Setup!J29</f>
        <v/>
      </c>
      <c r="U14" s="16">
        <f>Setup!$B$3*Setup!$C$12</f>
        <v/>
      </c>
      <c r="V14" s="17">
        <f>IF(Setup!L29&gt;0,U14/Setup!L29,0)</f>
        <v/>
      </c>
      <c r="W14" s="17">
        <f>W13+V14</f>
        <v/>
      </c>
      <c r="X14" s="16">
        <f>W14*Setup!N29</f>
        <v/>
      </c>
      <c r="Y14" s="16">
        <f>W14*Setup!M29</f>
        <v/>
      </c>
      <c r="Z14" s="16">
        <f>Setup!$B$3*Setup!$C$13</f>
        <v/>
      </c>
      <c r="AA14" s="17">
        <f>IF(Setup!O29&gt;0,Z14/Setup!O29,0)</f>
        <v/>
      </c>
      <c r="AB14" s="17">
        <f>AB13+AA14</f>
        <v/>
      </c>
      <c r="AC14" s="16">
        <f>AB14*Setup!Q29</f>
        <v/>
      </c>
      <c r="AD14" s="16">
        <f>AB14*Setup!P29</f>
        <v/>
      </c>
      <c r="AE14" s="16">
        <f>I14+N14+S14+X14+AC14</f>
        <v/>
      </c>
      <c r="AF14" s="16">
        <f>E14+AE14</f>
        <v/>
      </c>
      <c r="AG14" s="16">
        <f>AG13+F14+K14+P14+U14+Z14</f>
        <v/>
      </c>
      <c r="AH14" s="16">
        <f>J14+O14+T14+Y14+AD14</f>
        <v/>
      </c>
      <c r="AI14" s="16">
        <f>ROUND(AI13*(1+B14/12),2)+Setup!$B$3</f>
        <v/>
      </c>
    </row>
    <row r="15">
      <c r="A15" s="6">
        <f>Setup!A30</f>
        <v/>
      </c>
      <c r="B15" s="12">
        <f>Setup!B30</f>
        <v/>
      </c>
      <c r="C15" s="13">
        <f>AF14</f>
        <v/>
      </c>
      <c r="D15" s="18">
        <f>ROUND(C15*B15/12,2)</f>
        <v/>
      </c>
      <c r="E15" s="18">
        <f>C15+D15</f>
        <v/>
      </c>
      <c r="F15" s="18">
        <f>Setup!$B$3*Setup!$C$9</f>
        <v/>
      </c>
      <c r="G15" s="19">
        <f>IF(Setup!C30&gt;0,F15/Setup!C30,0)</f>
        <v/>
      </c>
      <c r="H15" s="19">
        <f>H14+G15</f>
        <v/>
      </c>
      <c r="I15" s="18">
        <f>H15*Setup!E30</f>
        <v/>
      </c>
      <c r="J15" s="18">
        <f>H15*Setup!D30</f>
        <v/>
      </c>
      <c r="K15" s="18">
        <f>Setup!$B$3*Setup!$C$10</f>
        <v/>
      </c>
      <c r="L15" s="19">
        <f>IF(Setup!F30&gt;0,K15/Setup!F30,0)</f>
        <v/>
      </c>
      <c r="M15" s="19">
        <f>M14+L15</f>
        <v/>
      </c>
      <c r="N15" s="18">
        <f>M15*Setup!H30</f>
        <v/>
      </c>
      <c r="O15" s="18">
        <f>M15*Setup!G30</f>
        <v/>
      </c>
      <c r="P15" s="18">
        <f>Setup!$B$3*Setup!$C$11</f>
        <v/>
      </c>
      <c r="Q15" s="19">
        <f>IF(Setup!I30&gt;0,P15/Setup!I30,0)</f>
        <v/>
      </c>
      <c r="R15" s="19">
        <f>R14+Q15</f>
        <v/>
      </c>
      <c r="S15" s="18">
        <f>R15*Setup!K30</f>
        <v/>
      </c>
      <c r="T15" s="18">
        <f>R15*Setup!J30</f>
        <v/>
      </c>
      <c r="U15" s="18">
        <f>Setup!$B$3*Setup!$C$12</f>
        <v/>
      </c>
      <c r="V15" s="19">
        <f>IF(Setup!L30&gt;0,U15/Setup!L30,0)</f>
        <v/>
      </c>
      <c r="W15" s="19">
        <f>W14+V15</f>
        <v/>
      </c>
      <c r="X15" s="18">
        <f>W15*Setup!N30</f>
        <v/>
      </c>
      <c r="Y15" s="18">
        <f>W15*Setup!M30</f>
        <v/>
      </c>
      <c r="Z15" s="18">
        <f>Setup!$B$3*Setup!$C$13</f>
        <v/>
      </c>
      <c r="AA15" s="19">
        <f>IF(Setup!O30&gt;0,Z15/Setup!O30,0)</f>
        <v/>
      </c>
      <c r="AB15" s="19">
        <f>AB14+AA15</f>
        <v/>
      </c>
      <c r="AC15" s="18">
        <f>AB15*Setup!Q30</f>
        <v/>
      </c>
      <c r="AD15" s="18">
        <f>AB15*Setup!P30</f>
        <v/>
      </c>
      <c r="AE15" s="18">
        <f>I15+N15+S15+X15+AC15</f>
        <v/>
      </c>
      <c r="AF15" s="18">
        <f>E15+AE15</f>
        <v/>
      </c>
      <c r="AG15" s="18">
        <f>AG14+F15+K15+P15+U15+Z15</f>
        <v/>
      </c>
      <c r="AH15" s="18">
        <f>J15+O15+T15+Y15+AD15</f>
        <v/>
      </c>
      <c r="AI15" s="18">
        <f>ROUND(AI14*(1+B15/12),2)+Setup!$B$3</f>
        <v/>
      </c>
    </row>
    <row r="16">
      <c r="A16" s="8">
        <f>Setup!A31</f>
        <v/>
      </c>
      <c r="B16" s="9">
        <f>Setup!B31</f>
        <v/>
      </c>
      <c r="C16" s="10">
        <f>AF15</f>
        <v/>
      </c>
      <c r="D16" s="16">
        <f>ROUND(C16*B16/12,2)</f>
        <v/>
      </c>
      <c r="E16" s="16">
        <f>C16+D16</f>
        <v/>
      </c>
      <c r="F16" s="16">
        <f>Setup!$B$3*Setup!$C$9</f>
        <v/>
      </c>
      <c r="G16" s="17">
        <f>IF(Setup!C31&gt;0,F16/Setup!C31,0)</f>
        <v/>
      </c>
      <c r="H16" s="17">
        <f>H15+G16</f>
        <v/>
      </c>
      <c r="I16" s="16">
        <f>H16*Setup!E31</f>
        <v/>
      </c>
      <c r="J16" s="16">
        <f>H16*Setup!D31</f>
        <v/>
      </c>
      <c r="K16" s="16">
        <f>Setup!$B$3*Setup!$C$10</f>
        <v/>
      </c>
      <c r="L16" s="17">
        <f>IF(Setup!F31&gt;0,K16/Setup!F31,0)</f>
        <v/>
      </c>
      <c r="M16" s="17">
        <f>M15+L16</f>
        <v/>
      </c>
      <c r="N16" s="16">
        <f>M16*Setup!H31</f>
        <v/>
      </c>
      <c r="O16" s="16">
        <f>M16*Setup!G31</f>
        <v/>
      </c>
      <c r="P16" s="16">
        <f>Setup!$B$3*Setup!$C$11</f>
        <v/>
      </c>
      <c r="Q16" s="17">
        <f>IF(Setup!I31&gt;0,P16/Setup!I31,0)</f>
        <v/>
      </c>
      <c r="R16" s="17">
        <f>R15+Q16</f>
        <v/>
      </c>
      <c r="S16" s="16">
        <f>R16*Setup!K31</f>
        <v/>
      </c>
      <c r="T16" s="16">
        <f>R16*Setup!J31</f>
        <v/>
      </c>
      <c r="U16" s="16">
        <f>Setup!$B$3*Setup!$C$12</f>
        <v/>
      </c>
      <c r="V16" s="17">
        <f>IF(Setup!L31&gt;0,U16/Setup!L31,0)</f>
        <v/>
      </c>
      <c r="W16" s="17">
        <f>W15+V16</f>
        <v/>
      </c>
      <c r="X16" s="16">
        <f>W16*Setup!N31</f>
        <v/>
      </c>
      <c r="Y16" s="16">
        <f>W16*Setup!M31</f>
        <v/>
      </c>
      <c r="Z16" s="16">
        <f>Setup!$B$3*Setup!$C$13</f>
        <v/>
      </c>
      <c r="AA16" s="17">
        <f>IF(Setup!O31&gt;0,Z16/Setup!O31,0)</f>
        <v/>
      </c>
      <c r="AB16" s="17">
        <f>AB15+AA16</f>
        <v/>
      </c>
      <c r="AC16" s="16">
        <f>AB16*Setup!Q31</f>
        <v/>
      </c>
      <c r="AD16" s="16">
        <f>AB16*Setup!P31</f>
        <v/>
      </c>
      <c r="AE16" s="16">
        <f>I16+N16+S16+X16+AC16</f>
        <v/>
      </c>
      <c r="AF16" s="16">
        <f>E16+AE16</f>
        <v/>
      </c>
      <c r="AG16" s="16">
        <f>AG15+F16+K16+P16+U16+Z16</f>
        <v/>
      </c>
      <c r="AH16" s="16">
        <f>J16+O16+T16+Y16+AD16</f>
        <v/>
      </c>
      <c r="AI16" s="16">
        <f>ROUND(AI15*(1+B16/12),2)+Setup!$B$3</f>
        <v/>
      </c>
    </row>
    <row r="17">
      <c r="A17" s="6">
        <f>Setup!A32</f>
        <v/>
      </c>
      <c r="B17" s="12">
        <f>Setup!B32</f>
        <v/>
      </c>
      <c r="C17" s="13">
        <f>AF16</f>
        <v/>
      </c>
      <c r="D17" s="18">
        <f>ROUND(C17*B17/12,2)</f>
        <v/>
      </c>
      <c r="E17" s="18">
        <f>C17+D17</f>
        <v/>
      </c>
      <c r="F17" s="18">
        <f>Setup!$B$3*Setup!$C$9</f>
        <v/>
      </c>
      <c r="G17" s="19">
        <f>IF(Setup!C32&gt;0,F17/Setup!C32,0)</f>
        <v/>
      </c>
      <c r="H17" s="19">
        <f>H16+G17</f>
        <v/>
      </c>
      <c r="I17" s="18">
        <f>H17*Setup!E32</f>
        <v/>
      </c>
      <c r="J17" s="18">
        <f>H17*Setup!D32</f>
        <v/>
      </c>
      <c r="K17" s="18">
        <f>Setup!$B$3*Setup!$C$10</f>
        <v/>
      </c>
      <c r="L17" s="19">
        <f>IF(Setup!F32&gt;0,K17/Setup!F32,0)</f>
        <v/>
      </c>
      <c r="M17" s="19">
        <f>M16+L17</f>
        <v/>
      </c>
      <c r="N17" s="18">
        <f>M17*Setup!H32</f>
        <v/>
      </c>
      <c r="O17" s="18">
        <f>M17*Setup!G32</f>
        <v/>
      </c>
      <c r="P17" s="18">
        <f>Setup!$B$3*Setup!$C$11</f>
        <v/>
      </c>
      <c r="Q17" s="19">
        <f>IF(Setup!I32&gt;0,P17/Setup!I32,0)</f>
        <v/>
      </c>
      <c r="R17" s="19">
        <f>R16+Q17</f>
        <v/>
      </c>
      <c r="S17" s="18">
        <f>R17*Setup!K32</f>
        <v/>
      </c>
      <c r="T17" s="18">
        <f>R17*Setup!J32</f>
        <v/>
      </c>
      <c r="U17" s="18">
        <f>Setup!$B$3*Setup!$C$12</f>
        <v/>
      </c>
      <c r="V17" s="19">
        <f>IF(Setup!L32&gt;0,U17/Setup!L32,0)</f>
        <v/>
      </c>
      <c r="W17" s="19">
        <f>W16+V17</f>
        <v/>
      </c>
      <c r="X17" s="18">
        <f>W17*Setup!N32</f>
        <v/>
      </c>
      <c r="Y17" s="18">
        <f>W17*Setup!M32</f>
        <v/>
      </c>
      <c r="Z17" s="18">
        <f>Setup!$B$3*Setup!$C$13</f>
        <v/>
      </c>
      <c r="AA17" s="19">
        <f>IF(Setup!O32&gt;0,Z17/Setup!O32,0)</f>
        <v/>
      </c>
      <c r="AB17" s="19">
        <f>AB16+AA17</f>
        <v/>
      </c>
      <c r="AC17" s="18">
        <f>AB17*Setup!Q32</f>
        <v/>
      </c>
      <c r="AD17" s="18">
        <f>AB17*Setup!P32</f>
        <v/>
      </c>
      <c r="AE17" s="18">
        <f>I17+N17+S17+X17+AC17</f>
        <v/>
      </c>
      <c r="AF17" s="18">
        <f>E17+AE17</f>
        <v/>
      </c>
      <c r="AG17" s="18">
        <f>AG16+F17+K17+P17+U17+Z17</f>
        <v/>
      </c>
      <c r="AH17" s="18">
        <f>J17+O17+T17+Y17+AD17</f>
        <v/>
      </c>
      <c r="AI17" s="18">
        <f>ROUND(AI16*(1+B17/12),2)+Setup!$B$3</f>
        <v/>
      </c>
    </row>
    <row r="18">
      <c r="A18" s="8">
        <f>Setup!A33</f>
        <v/>
      </c>
      <c r="B18" s="9">
        <f>Setup!B33</f>
        <v/>
      </c>
      <c r="C18" s="10">
        <f>AF17</f>
        <v/>
      </c>
      <c r="D18" s="16">
        <f>ROUND(C18*B18/12,2)</f>
        <v/>
      </c>
      <c r="E18" s="16">
        <f>C18+D18</f>
        <v/>
      </c>
      <c r="F18" s="16">
        <f>Setup!$B$3*Setup!$C$9</f>
        <v/>
      </c>
      <c r="G18" s="17">
        <f>IF(Setup!C33&gt;0,F18/Setup!C33,0)</f>
        <v/>
      </c>
      <c r="H18" s="17">
        <f>H17+G18</f>
        <v/>
      </c>
      <c r="I18" s="16">
        <f>H18*Setup!E33</f>
        <v/>
      </c>
      <c r="J18" s="16">
        <f>H18*Setup!D33</f>
        <v/>
      </c>
      <c r="K18" s="16">
        <f>Setup!$B$3*Setup!$C$10</f>
        <v/>
      </c>
      <c r="L18" s="17">
        <f>IF(Setup!F33&gt;0,K18/Setup!F33,0)</f>
        <v/>
      </c>
      <c r="M18" s="17">
        <f>M17+L18</f>
        <v/>
      </c>
      <c r="N18" s="16">
        <f>M18*Setup!H33</f>
        <v/>
      </c>
      <c r="O18" s="16">
        <f>M18*Setup!G33</f>
        <v/>
      </c>
      <c r="P18" s="16">
        <f>Setup!$B$3*Setup!$C$11</f>
        <v/>
      </c>
      <c r="Q18" s="17">
        <f>IF(Setup!I33&gt;0,P18/Setup!I33,0)</f>
        <v/>
      </c>
      <c r="R18" s="17">
        <f>R17+Q18</f>
        <v/>
      </c>
      <c r="S18" s="16">
        <f>R18*Setup!K33</f>
        <v/>
      </c>
      <c r="T18" s="16">
        <f>R18*Setup!J33</f>
        <v/>
      </c>
      <c r="U18" s="16">
        <f>Setup!$B$3*Setup!$C$12</f>
        <v/>
      </c>
      <c r="V18" s="17">
        <f>IF(Setup!L33&gt;0,U18/Setup!L33,0)</f>
        <v/>
      </c>
      <c r="W18" s="17">
        <f>W17+V18</f>
        <v/>
      </c>
      <c r="X18" s="16">
        <f>W18*Setup!N33</f>
        <v/>
      </c>
      <c r="Y18" s="16">
        <f>W18*Setup!M33</f>
        <v/>
      </c>
      <c r="Z18" s="16">
        <f>Setup!$B$3*Setup!$C$13</f>
        <v/>
      </c>
      <c r="AA18" s="17">
        <f>IF(Setup!O33&gt;0,Z18/Setup!O33,0)</f>
        <v/>
      </c>
      <c r="AB18" s="17">
        <f>AB17+AA18</f>
        <v/>
      </c>
      <c r="AC18" s="16">
        <f>AB18*Setup!Q33</f>
        <v/>
      </c>
      <c r="AD18" s="16">
        <f>AB18*Setup!P33</f>
        <v/>
      </c>
      <c r="AE18" s="16">
        <f>I18+N18+S18+X18+AC18</f>
        <v/>
      </c>
      <c r="AF18" s="16">
        <f>E18+AE18</f>
        <v/>
      </c>
      <c r="AG18" s="16">
        <f>AG17+F18+K18+P18+U18+Z18</f>
        <v/>
      </c>
      <c r="AH18" s="16">
        <f>J18+O18+T18+Y18+AD18</f>
        <v/>
      </c>
      <c r="AI18" s="16">
        <f>ROUND(AI17*(1+B18/12),2)+Setup!$B$3</f>
        <v/>
      </c>
    </row>
    <row r="19">
      <c r="A19" s="6">
        <f>Setup!A34</f>
        <v/>
      </c>
      <c r="B19" s="12">
        <f>Setup!B34</f>
        <v/>
      </c>
      <c r="C19" s="13">
        <f>AF18</f>
        <v/>
      </c>
      <c r="D19" s="18">
        <f>ROUND(C19*B19/12,2)</f>
        <v/>
      </c>
      <c r="E19" s="18">
        <f>C19+D19</f>
        <v/>
      </c>
      <c r="F19" s="18">
        <f>Setup!$B$3*Setup!$C$9</f>
        <v/>
      </c>
      <c r="G19" s="19">
        <f>IF(Setup!C34&gt;0,F19/Setup!C34,0)</f>
        <v/>
      </c>
      <c r="H19" s="19">
        <f>H18+G19</f>
        <v/>
      </c>
      <c r="I19" s="18">
        <f>H19*Setup!E34</f>
        <v/>
      </c>
      <c r="J19" s="18">
        <f>H19*Setup!D34</f>
        <v/>
      </c>
      <c r="K19" s="18">
        <f>Setup!$B$3*Setup!$C$10</f>
        <v/>
      </c>
      <c r="L19" s="19">
        <f>IF(Setup!F34&gt;0,K19/Setup!F34,0)</f>
        <v/>
      </c>
      <c r="M19" s="19">
        <f>M18+L19</f>
        <v/>
      </c>
      <c r="N19" s="18">
        <f>M19*Setup!H34</f>
        <v/>
      </c>
      <c r="O19" s="18">
        <f>M19*Setup!G34</f>
        <v/>
      </c>
      <c r="P19" s="18">
        <f>Setup!$B$3*Setup!$C$11</f>
        <v/>
      </c>
      <c r="Q19" s="19">
        <f>IF(Setup!I34&gt;0,P19/Setup!I34,0)</f>
        <v/>
      </c>
      <c r="R19" s="19">
        <f>R18+Q19</f>
        <v/>
      </c>
      <c r="S19" s="18">
        <f>R19*Setup!K34</f>
        <v/>
      </c>
      <c r="T19" s="18">
        <f>R19*Setup!J34</f>
        <v/>
      </c>
      <c r="U19" s="18">
        <f>Setup!$B$3*Setup!$C$12</f>
        <v/>
      </c>
      <c r="V19" s="19">
        <f>IF(Setup!L34&gt;0,U19/Setup!L34,0)</f>
        <v/>
      </c>
      <c r="W19" s="19">
        <f>W18+V19</f>
        <v/>
      </c>
      <c r="X19" s="18">
        <f>W19*Setup!N34</f>
        <v/>
      </c>
      <c r="Y19" s="18">
        <f>W19*Setup!M34</f>
        <v/>
      </c>
      <c r="Z19" s="18">
        <f>Setup!$B$3*Setup!$C$13</f>
        <v/>
      </c>
      <c r="AA19" s="19">
        <f>IF(Setup!O34&gt;0,Z19/Setup!O34,0)</f>
        <v/>
      </c>
      <c r="AB19" s="19">
        <f>AB18+AA19</f>
        <v/>
      </c>
      <c r="AC19" s="18">
        <f>AB19*Setup!Q34</f>
        <v/>
      </c>
      <c r="AD19" s="18">
        <f>AB19*Setup!P34</f>
        <v/>
      </c>
      <c r="AE19" s="18">
        <f>I19+N19+S19+X19+AC19</f>
        <v/>
      </c>
      <c r="AF19" s="18">
        <f>E19+AE19</f>
        <v/>
      </c>
      <c r="AG19" s="18">
        <f>AG18+F19+K19+P19+U19+Z19</f>
        <v/>
      </c>
      <c r="AH19" s="18">
        <f>J19+O19+T19+Y19+AD19</f>
        <v/>
      </c>
      <c r="AI19" s="18">
        <f>ROUND(AI18*(1+B19/12),2)+Setup!$B$3</f>
        <v/>
      </c>
    </row>
    <row r="20">
      <c r="A20" s="8">
        <f>Setup!A35</f>
        <v/>
      </c>
      <c r="B20" s="9">
        <f>Setup!B35</f>
        <v/>
      </c>
      <c r="C20" s="10">
        <f>AF19</f>
        <v/>
      </c>
      <c r="D20" s="16">
        <f>ROUND(C20*B20/12,2)</f>
        <v/>
      </c>
      <c r="E20" s="16">
        <f>C20+D20</f>
        <v/>
      </c>
      <c r="F20" s="16">
        <f>Setup!$B$3*Setup!$C$9</f>
        <v/>
      </c>
      <c r="G20" s="17">
        <f>IF(Setup!C35&gt;0,F20/Setup!C35,0)</f>
        <v/>
      </c>
      <c r="H20" s="17">
        <f>H19+G20</f>
        <v/>
      </c>
      <c r="I20" s="16">
        <f>H20*Setup!E35</f>
        <v/>
      </c>
      <c r="J20" s="16">
        <f>H20*Setup!D35</f>
        <v/>
      </c>
      <c r="K20" s="16">
        <f>Setup!$B$3*Setup!$C$10</f>
        <v/>
      </c>
      <c r="L20" s="17">
        <f>IF(Setup!F35&gt;0,K20/Setup!F35,0)</f>
        <v/>
      </c>
      <c r="M20" s="17">
        <f>M19+L20</f>
        <v/>
      </c>
      <c r="N20" s="16">
        <f>M20*Setup!H35</f>
        <v/>
      </c>
      <c r="O20" s="16">
        <f>M20*Setup!G35</f>
        <v/>
      </c>
      <c r="P20" s="16">
        <f>Setup!$B$3*Setup!$C$11</f>
        <v/>
      </c>
      <c r="Q20" s="17">
        <f>IF(Setup!I35&gt;0,P20/Setup!I35,0)</f>
        <v/>
      </c>
      <c r="R20" s="17">
        <f>R19+Q20</f>
        <v/>
      </c>
      <c r="S20" s="16">
        <f>R20*Setup!K35</f>
        <v/>
      </c>
      <c r="T20" s="16">
        <f>R20*Setup!J35</f>
        <v/>
      </c>
      <c r="U20" s="16">
        <f>Setup!$B$3*Setup!$C$12</f>
        <v/>
      </c>
      <c r="V20" s="17">
        <f>IF(Setup!L35&gt;0,U20/Setup!L35,0)</f>
        <v/>
      </c>
      <c r="W20" s="17">
        <f>W19+V20</f>
        <v/>
      </c>
      <c r="X20" s="16">
        <f>W20*Setup!N35</f>
        <v/>
      </c>
      <c r="Y20" s="16">
        <f>W20*Setup!M35</f>
        <v/>
      </c>
      <c r="Z20" s="16">
        <f>Setup!$B$3*Setup!$C$13</f>
        <v/>
      </c>
      <c r="AA20" s="17">
        <f>IF(Setup!O35&gt;0,Z20/Setup!O35,0)</f>
        <v/>
      </c>
      <c r="AB20" s="17">
        <f>AB19+AA20</f>
        <v/>
      </c>
      <c r="AC20" s="16">
        <f>AB20*Setup!Q35</f>
        <v/>
      </c>
      <c r="AD20" s="16">
        <f>AB20*Setup!P35</f>
        <v/>
      </c>
      <c r="AE20" s="16">
        <f>I20+N20+S20+X20+AC20</f>
        <v/>
      </c>
      <c r="AF20" s="16">
        <f>E20+AE20</f>
        <v/>
      </c>
      <c r="AG20" s="16">
        <f>AG19+F20+K20+P20+U20+Z20</f>
        <v/>
      </c>
      <c r="AH20" s="16">
        <f>J20+O20+T20+Y20+AD20</f>
        <v/>
      </c>
      <c r="AI20" s="16">
        <f>ROUND(AI19*(1+B20/12),2)+Setup!$B$3</f>
        <v/>
      </c>
    </row>
    <row r="21">
      <c r="A21" s="6">
        <f>Setup!A36</f>
        <v/>
      </c>
      <c r="B21" s="12">
        <f>Setup!B36</f>
        <v/>
      </c>
      <c r="C21" s="13">
        <f>AF20</f>
        <v/>
      </c>
      <c r="D21" s="18">
        <f>ROUND(C21*B21/12,2)</f>
        <v/>
      </c>
      <c r="E21" s="18">
        <f>C21+D21</f>
        <v/>
      </c>
      <c r="F21" s="18">
        <f>Setup!$B$3*Setup!$C$9</f>
        <v/>
      </c>
      <c r="G21" s="19">
        <f>IF(Setup!C36&gt;0,F21/Setup!C36,0)</f>
        <v/>
      </c>
      <c r="H21" s="19">
        <f>H20+G21</f>
        <v/>
      </c>
      <c r="I21" s="18">
        <f>H21*Setup!E36</f>
        <v/>
      </c>
      <c r="J21" s="18">
        <f>H21*Setup!D36</f>
        <v/>
      </c>
      <c r="K21" s="18">
        <f>Setup!$B$3*Setup!$C$10</f>
        <v/>
      </c>
      <c r="L21" s="19">
        <f>IF(Setup!F36&gt;0,K21/Setup!F36,0)</f>
        <v/>
      </c>
      <c r="M21" s="19">
        <f>M20+L21</f>
        <v/>
      </c>
      <c r="N21" s="18">
        <f>M21*Setup!H36</f>
        <v/>
      </c>
      <c r="O21" s="18">
        <f>M21*Setup!G36</f>
        <v/>
      </c>
      <c r="P21" s="18">
        <f>Setup!$B$3*Setup!$C$11</f>
        <v/>
      </c>
      <c r="Q21" s="19">
        <f>IF(Setup!I36&gt;0,P21/Setup!I36,0)</f>
        <v/>
      </c>
      <c r="R21" s="19">
        <f>R20+Q21</f>
        <v/>
      </c>
      <c r="S21" s="18">
        <f>R21*Setup!K36</f>
        <v/>
      </c>
      <c r="T21" s="18">
        <f>R21*Setup!J36</f>
        <v/>
      </c>
      <c r="U21" s="18">
        <f>Setup!$B$3*Setup!$C$12</f>
        <v/>
      </c>
      <c r="V21" s="19">
        <f>IF(Setup!L36&gt;0,U21/Setup!L36,0)</f>
        <v/>
      </c>
      <c r="W21" s="19">
        <f>W20+V21</f>
        <v/>
      </c>
      <c r="X21" s="18">
        <f>W21*Setup!N36</f>
        <v/>
      </c>
      <c r="Y21" s="18">
        <f>W21*Setup!M36</f>
        <v/>
      </c>
      <c r="Z21" s="18">
        <f>Setup!$B$3*Setup!$C$13</f>
        <v/>
      </c>
      <c r="AA21" s="19">
        <f>IF(Setup!O36&gt;0,Z21/Setup!O36,0)</f>
        <v/>
      </c>
      <c r="AB21" s="19">
        <f>AB20+AA21</f>
        <v/>
      </c>
      <c r="AC21" s="18">
        <f>AB21*Setup!Q36</f>
        <v/>
      </c>
      <c r="AD21" s="18">
        <f>AB21*Setup!P36</f>
        <v/>
      </c>
      <c r="AE21" s="18">
        <f>I21+N21+S21+X21+AC21</f>
        <v/>
      </c>
      <c r="AF21" s="18">
        <f>E21+AE21</f>
        <v/>
      </c>
      <c r="AG21" s="18">
        <f>AG20+F21+K21+P21+U21+Z21</f>
        <v/>
      </c>
      <c r="AH21" s="18">
        <f>J21+O21+T21+Y21+AD21</f>
        <v/>
      </c>
      <c r="AI21" s="18">
        <f>ROUND(AI20*(1+B21/12),2)+Setup!$B$3</f>
        <v/>
      </c>
    </row>
    <row r="22">
      <c r="A22" s="8">
        <f>Setup!A37</f>
        <v/>
      </c>
      <c r="B22" s="9">
        <f>Setup!B37</f>
        <v/>
      </c>
      <c r="C22" s="10">
        <f>AF21</f>
        <v/>
      </c>
      <c r="D22" s="16">
        <f>ROUND(C22*B22/12,2)</f>
        <v/>
      </c>
      <c r="E22" s="16">
        <f>C22+D22</f>
        <v/>
      </c>
      <c r="F22" s="16">
        <f>Setup!$B$3*Setup!$C$9</f>
        <v/>
      </c>
      <c r="G22" s="17">
        <f>IF(Setup!C37&gt;0,F22/Setup!C37,0)</f>
        <v/>
      </c>
      <c r="H22" s="17">
        <f>H21+G22</f>
        <v/>
      </c>
      <c r="I22" s="16">
        <f>H22*Setup!E37</f>
        <v/>
      </c>
      <c r="J22" s="16">
        <f>H22*Setup!D37</f>
        <v/>
      </c>
      <c r="K22" s="16">
        <f>Setup!$B$3*Setup!$C$10</f>
        <v/>
      </c>
      <c r="L22" s="17">
        <f>IF(Setup!F37&gt;0,K22/Setup!F37,0)</f>
        <v/>
      </c>
      <c r="M22" s="17">
        <f>M21+L22</f>
        <v/>
      </c>
      <c r="N22" s="16">
        <f>M22*Setup!H37</f>
        <v/>
      </c>
      <c r="O22" s="16">
        <f>M22*Setup!G37</f>
        <v/>
      </c>
      <c r="P22" s="16">
        <f>Setup!$B$3*Setup!$C$11</f>
        <v/>
      </c>
      <c r="Q22" s="17">
        <f>IF(Setup!I37&gt;0,P22/Setup!I37,0)</f>
        <v/>
      </c>
      <c r="R22" s="17">
        <f>R21+Q22</f>
        <v/>
      </c>
      <c r="S22" s="16">
        <f>R22*Setup!K37</f>
        <v/>
      </c>
      <c r="T22" s="16">
        <f>R22*Setup!J37</f>
        <v/>
      </c>
      <c r="U22" s="16">
        <f>Setup!$B$3*Setup!$C$12</f>
        <v/>
      </c>
      <c r="V22" s="17">
        <f>IF(Setup!L37&gt;0,U22/Setup!L37,0)</f>
        <v/>
      </c>
      <c r="W22" s="17">
        <f>W21+V22</f>
        <v/>
      </c>
      <c r="X22" s="16">
        <f>W22*Setup!N37</f>
        <v/>
      </c>
      <c r="Y22" s="16">
        <f>W22*Setup!M37</f>
        <v/>
      </c>
      <c r="Z22" s="16">
        <f>Setup!$B$3*Setup!$C$13</f>
        <v/>
      </c>
      <c r="AA22" s="17">
        <f>IF(Setup!O37&gt;0,Z22/Setup!O37,0)</f>
        <v/>
      </c>
      <c r="AB22" s="17">
        <f>AB21+AA22</f>
        <v/>
      </c>
      <c r="AC22" s="16">
        <f>AB22*Setup!Q37</f>
        <v/>
      </c>
      <c r="AD22" s="16">
        <f>AB22*Setup!P37</f>
        <v/>
      </c>
      <c r="AE22" s="16">
        <f>I22+N22+S22+X22+AC22</f>
        <v/>
      </c>
      <c r="AF22" s="16">
        <f>E22+AE22</f>
        <v/>
      </c>
      <c r="AG22" s="16">
        <f>AG21+F22+K22+P22+U22+Z22</f>
        <v/>
      </c>
      <c r="AH22" s="16">
        <f>J22+O22+T22+Y22+AD22</f>
        <v/>
      </c>
      <c r="AI22" s="16">
        <f>ROUND(AI21*(1+B22/12),2)+Setup!$B$3</f>
        <v/>
      </c>
    </row>
    <row r="23">
      <c r="A23" s="6">
        <f>Setup!A38</f>
        <v/>
      </c>
      <c r="B23" s="12">
        <f>Setup!B38</f>
        <v/>
      </c>
      <c r="C23" s="13">
        <f>AF22</f>
        <v/>
      </c>
      <c r="D23" s="18">
        <f>ROUND(C23*B23/12,2)</f>
        <v/>
      </c>
      <c r="E23" s="18">
        <f>C23+D23</f>
        <v/>
      </c>
      <c r="F23" s="18">
        <f>Setup!$B$3*Setup!$C$9</f>
        <v/>
      </c>
      <c r="G23" s="19">
        <f>IF(Setup!C38&gt;0,F23/Setup!C38,0)</f>
        <v/>
      </c>
      <c r="H23" s="19">
        <f>H22+G23</f>
        <v/>
      </c>
      <c r="I23" s="18">
        <f>H23*Setup!E38</f>
        <v/>
      </c>
      <c r="J23" s="18">
        <f>H23*Setup!D38</f>
        <v/>
      </c>
      <c r="K23" s="18">
        <f>Setup!$B$3*Setup!$C$10</f>
        <v/>
      </c>
      <c r="L23" s="19">
        <f>IF(Setup!F38&gt;0,K23/Setup!F38,0)</f>
        <v/>
      </c>
      <c r="M23" s="19">
        <f>M22+L23</f>
        <v/>
      </c>
      <c r="N23" s="18">
        <f>M23*Setup!H38</f>
        <v/>
      </c>
      <c r="O23" s="18">
        <f>M23*Setup!G38</f>
        <v/>
      </c>
      <c r="P23" s="18">
        <f>Setup!$B$3*Setup!$C$11</f>
        <v/>
      </c>
      <c r="Q23" s="19">
        <f>IF(Setup!I38&gt;0,P23/Setup!I38,0)</f>
        <v/>
      </c>
      <c r="R23" s="19">
        <f>R22+Q23</f>
        <v/>
      </c>
      <c r="S23" s="18">
        <f>R23*Setup!K38</f>
        <v/>
      </c>
      <c r="T23" s="18">
        <f>R23*Setup!J38</f>
        <v/>
      </c>
      <c r="U23" s="18">
        <f>Setup!$B$3*Setup!$C$12</f>
        <v/>
      </c>
      <c r="V23" s="19">
        <f>IF(Setup!L38&gt;0,U23/Setup!L38,0)</f>
        <v/>
      </c>
      <c r="W23" s="19">
        <f>W22+V23</f>
        <v/>
      </c>
      <c r="X23" s="18">
        <f>W23*Setup!N38</f>
        <v/>
      </c>
      <c r="Y23" s="18">
        <f>W23*Setup!M38</f>
        <v/>
      </c>
      <c r="Z23" s="18">
        <f>Setup!$B$3*Setup!$C$13</f>
        <v/>
      </c>
      <c r="AA23" s="19">
        <f>IF(Setup!O38&gt;0,Z23/Setup!O38,0)</f>
        <v/>
      </c>
      <c r="AB23" s="19">
        <f>AB22+AA23</f>
        <v/>
      </c>
      <c r="AC23" s="18">
        <f>AB23*Setup!Q38</f>
        <v/>
      </c>
      <c r="AD23" s="18">
        <f>AB23*Setup!P38</f>
        <v/>
      </c>
      <c r="AE23" s="18">
        <f>I23+N23+S23+X23+AC23</f>
        <v/>
      </c>
      <c r="AF23" s="18">
        <f>E23+AE23</f>
        <v/>
      </c>
      <c r="AG23" s="18">
        <f>AG22+F23+K23+P23+U23+Z23</f>
        <v/>
      </c>
      <c r="AH23" s="18">
        <f>J23+O23+T23+Y23+AD23</f>
        <v/>
      </c>
      <c r="AI23" s="18">
        <f>ROUND(AI22*(1+B23/12),2)+Setup!$B$3</f>
        <v/>
      </c>
    </row>
    <row r="24">
      <c r="A24" s="8">
        <f>Setup!A39</f>
        <v/>
      </c>
      <c r="B24" s="9">
        <f>Setup!B39</f>
        <v/>
      </c>
      <c r="C24" s="10">
        <f>AF23</f>
        <v/>
      </c>
      <c r="D24" s="16">
        <f>ROUND(C24*B24/12,2)</f>
        <v/>
      </c>
      <c r="E24" s="16">
        <f>C24+D24</f>
        <v/>
      </c>
      <c r="F24" s="16">
        <f>Setup!$B$3*Setup!$C$9</f>
        <v/>
      </c>
      <c r="G24" s="17">
        <f>IF(Setup!C39&gt;0,F24/Setup!C39,0)</f>
        <v/>
      </c>
      <c r="H24" s="17">
        <f>H23+G24</f>
        <v/>
      </c>
      <c r="I24" s="16">
        <f>H24*Setup!E39</f>
        <v/>
      </c>
      <c r="J24" s="16">
        <f>H24*Setup!D39</f>
        <v/>
      </c>
      <c r="K24" s="16">
        <f>Setup!$B$3*Setup!$C$10</f>
        <v/>
      </c>
      <c r="L24" s="17">
        <f>IF(Setup!F39&gt;0,K24/Setup!F39,0)</f>
        <v/>
      </c>
      <c r="M24" s="17">
        <f>M23+L24</f>
        <v/>
      </c>
      <c r="N24" s="16">
        <f>M24*Setup!H39</f>
        <v/>
      </c>
      <c r="O24" s="16">
        <f>M24*Setup!G39</f>
        <v/>
      </c>
      <c r="P24" s="16">
        <f>Setup!$B$3*Setup!$C$11</f>
        <v/>
      </c>
      <c r="Q24" s="17">
        <f>IF(Setup!I39&gt;0,P24/Setup!I39,0)</f>
        <v/>
      </c>
      <c r="R24" s="17">
        <f>R23+Q24</f>
        <v/>
      </c>
      <c r="S24" s="16">
        <f>R24*Setup!K39</f>
        <v/>
      </c>
      <c r="T24" s="16">
        <f>R24*Setup!J39</f>
        <v/>
      </c>
      <c r="U24" s="16">
        <f>Setup!$B$3*Setup!$C$12</f>
        <v/>
      </c>
      <c r="V24" s="17">
        <f>IF(Setup!L39&gt;0,U24/Setup!L39,0)</f>
        <v/>
      </c>
      <c r="W24" s="17">
        <f>W23+V24</f>
        <v/>
      </c>
      <c r="X24" s="16">
        <f>W24*Setup!N39</f>
        <v/>
      </c>
      <c r="Y24" s="16">
        <f>W24*Setup!M39</f>
        <v/>
      </c>
      <c r="Z24" s="16">
        <f>Setup!$B$3*Setup!$C$13</f>
        <v/>
      </c>
      <c r="AA24" s="17">
        <f>IF(Setup!O39&gt;0,Z24/Setup!O39,0)</f>
        <v/>
      </c>
      <c r="AB24" s="17">
        <f>AB23+AA24</f>
        <v/>
      </c>
      <c r="AC24" s="16">
        <f>AB24*Setup!Q39</f>
        <v/>
      </c>
      <c r="AD24" s="16">
        <f>AB24*Setup!P39</f>
        <v/>
      </c>
      <c r="AE24" s="16">
        <f>I24+N24+S24+X24+AC24</f>
        <v/>
      </c>
      <c r="AF24" s="16">
        <f>E24+AE24</f>
        <v/>
      </c>
      <c r="AG24" s="16">
        <f>AG23+F24+K24+P24+U24+Z24</f>
        <v/>
      </c>
      <c r="AH24" s="16">
        <f>J24+O24+T24+Y24+AD24</f>
        <v/>
      </c>
      <c r="AI24" s="16">
        <f>ROUND(AI23*(1+B24/12),2)+Setup!$B$3</f>
        <v/>
      </c>
    </row>
    <row r="25">
      <c r="A25" s="6">
        <f>Setup!A40</f>
        <v/>
      </c>
      <c r="B25" s="12">
        <f>Setup!B40</f>
        <v/>
      </c>
      <c r="C25" s="13">
        <f>AF24</f>
        <v/>
      </c>
      <c r="D25" s="18">
        <f>ROUND(C25*B25/12,2)</f>
        <v/>
      </c>
      <c r="E25" s="18">
        <f>C25+D25</f>
        <v/>
      </c>
      <c r="F25" s="18">
        <f>Setup!$B$3*Setup!$C$9</f>
        <v/>
      </c>
      <c r="G25" s="19">
        <f>IF(Setup!C40&gt;0,F25/Setup!C40,0)</f>
        <v/>
      </c>
      <c r="H25" s="19">
        <f>H24+G25</f>
        <v/>
      </c>
      <c r="I25" s="18">
        <f>H25*Setup!E40</f>
        <v/>
      </c>
      <c r="J25" s="18">
        <f>H25*Setup!D40</f>
        <v/>
      </c>
      <c r="K25" s="18">
        <f>Setup!$B$3*Setup!$C$10</f>
        <v/>
      </c>
      <c r="L25" s="19">
        <f>IF(Setup!F40&gt;0,K25/Setup!F40,0)</f>
        <v/>
      </c>
      <c r="M25" s="19">
        <f>M24+L25</f>
        <v/>
      </c>
      <c r="N25" s="18">
        <f>M25*Setup!H40</f>
        <v/>
      </c>
      <c r="O25" s="18">
        <f>M25*Setup!G40</f>
        <v/>
      </c>
      <c r="P25" s="18">
        <f>Setup!$B$3*Setup!$C$11</f>
        <v/>
      </c>
      <c r="Q25" s="19">
        <f>IF(Setup!I40&gt;0,P25/Setup!I40,0)</f>
        <v/>
      </c>
      <c r="R25" s="19">
        <f>R24+Q25</f>
        <v/>
      </c>
      <c r="S25" s="18">
        <f>R25*Setup!K40</f>
        <v/>
      </c>
      <c r="T25" s="18">
        <f>R25*Setup!J40</f>
        <v/>
      </c>
      <c r="U25" s="18">
        <f>Setup!$B$3*Setup!$C$12</f>
        <v/>
      </c>
      <c r="V25" s="19">
        <f>IF(Setup!L40&gt;0,U25/Setup!L40,0)</f>
        <v/>
      </c>
      <c r="W25" s="19">
        <f>W24+V25</f>
        <v/>
      </c>
      <c r="X25" s="18">
        <f>W25*Setup!N40</f>
        <v/>
      </c>
      <c r="Y25" s="18">
        <f>W25*Setup!M40</f>
        <v/>
      </c>
      <c r="Z25" s="18">
        <f>Setup!$B$3*Setup!$C$13</f>
        <v/>
      </c>
      <c r="AA25" s="19">
        <f>IF(Setup!O40&gt;0,Z25/Setup!O40,0)</f>
        <v/>
      </c>
      <c r="AB25" s="19">
        <f>AB24+AA25</f>
        <v/>
      </c>
      <c r="AC25" s="18">
        <f>AB25*Setup!Q40</f>
        <v/>
      </c>
      <c r="AD25" s="18">
        <f>AB25*Setup!P40</f>
        <v/>
      </c>
      <c r="AE25" s="18">
        <f>I25+N25+S25+X25+AC25</f>
        <v/>
      </c>
      <c r="AF25" s="18">
        <f>E25+AE25</f>
        <v/>
      </c>
      <c r="AG25" s="18">
        <f>AG24+F25+K25+P25+U25+Z25</f>
        <v/>
      </c>
      <c r="AH25" s="18">
        <f>J25+O25+T25+Y25+AD25</f>
        <v/>
      </c>
      <c r="AI25" s="18">
        <f>ROUND(AI24*(1+B25/12),2)+Setup!$B$3</f>
        <v/>
      </c>
    </row>
    <row r="26">
      <c r="A26" s="8">
        <f>Setup!A41</f>
        <v/>
      </c>
      <c r="B26" s="9">
        <f>Setup!B41</f>
        <v/>
      </c>
      <c r="C26" s="10">
        <f>AF25</f>
        <v/>
      </c>
      <c r="D26" s="16">
        <f>ROUND(C26*B26/12,2)</f>
        <v/>
      </c>
      <c r="E26" s="16">
        <f>C26+D26</f>
        <v/>
      </c>
      <c r="F26" s="16">
        <f>Setup!$B$3*Setup!$C$9</f>
        <v/>
      </c>
      <c r="G26" s="17">
        <f>IF(Setup!C41&gt;0,F26/Setup!C41,0)</f>
        <v/>
      </c>
      <c r="H26" s="17">
        <f>H25+G26</f>
        <v/>
      </c>
      <c r="I26" s="16">
        <f>H26*Setup!E41</f>
        <v/>
      </c>
      <c r="J26" s="16">
        <f>H26*Setup!D41</f>
        <v/>
      </c>
      <c r="K26" s="16">
        <f>Setup!$B$3*Setup!$C$10</f>
        <v/>
      </c>
      <c r="L26" s="17">
        <f>IF(Setup!F41&gt;0,K26/Setup!F41,0)</f>
        <v/>
      </c>
      <c r="M26" s="17">
        <f>M25+L26</f>
        <v/>
      </c>
      <c r="N26" s="16">
        <f>M26*Setup!H41</f>
        <v/>
      </c>
      <c r="O26" s="16">
        <f>M26*Setup!G41</f>
        <v/>
      </c>
      <c r="P26" s="16">
        <f>Setup!$B$3*Setup!$C$11</f>
        <v/>
      </c>
      <c r="Q26" s="17">
        <f>IF(Setup!I41&gt;0,P26/Setup!I41,0)</f>
        <v/>
      </c>
      <c r="R26" s="17">
        <f>R25+Q26</f>
        <v/>
      </c>
      <c r="S26" s="16">
        <f>R26*Setup!K41</f>
        <v/>
      </c>
      <c r="T26" s="16">
        <f>R26*Setup!J41</f>
        <v/>
      </c>
      <c r="U26" s="16">
        <f>Setup!$B$3*Setup!$C$12</f>
        <v/>
      </c>
      <c r="V26" s="17">
        <f>IF(Setup!L41&gt;0,U26/Setup!L41,0)</f>
        <v/>
      </c>
      <c r="W26" s="17">
        <f>W25+V26</f>
        <v/>
      </c>
      <c r="X26" s="16">
        <f>W26*Setup!N41</f>
        <v/>
      </c>
      <c r="Y26" s="16">
        <f>W26*Setup!M41</f>
        <v/>
      </c>
      <c r="Z26" s="16">
        <f>Setup!$B$3*Setup!$C$13</f>
        <v/>
      </c>
      <c r="AA26" s="17">
        <f>IF(Setup!O41&gt;0,Z26/Setup!O41,0)</f>
        <v/>
      </c>
      <c r="AB26" s="17">
        <f>AB25+AA26</f>
        <v/>
      </c>
      <c r="AC26" s="16">
        <f>AB26*Setup!Q41</f>
        <v/>
      </c>
      <c r="AD26" s="16">
        <f>AB26*Setup!P41</f>
        <v/>
      </c>
      <c r="AE26" s="16">
        <f>I26+N26+S26+X26+AC26</f>
        <v/>
      </c>
      <c r="AF26" s="16">
        <f>E26+AE26</f>
        <v/>
      </c>
      <c r="AG26" s="16">
        <f>AG25+F26+K26+P26+U26+Z26</f>
        <v/>
      </c>
      <c r="AH26" s="16">
        <f>J26+O26+T26+Y26+AD26</f>
        <v/>
      </c>
      <c r="AI26" s="16">
        <f>ROUND(AI25*(1+B26/12),2)+Setup!$B$3</f>
        <v/>
      </c>
    </row>
    <row r="27">
      <c r="A27" s="6">
        <f>Setup!A42</f>
        <v/>
      </c>
      <c r="B27" s="12">
        <f>Setup!B42</f>
        <v/>
      </c>
      <c r="C27" s="13">
        <f>AF26</f>
        <v/>
      </c>
      <c r="D27" s="18">
        <f>ROUND(C27*B27/12,2)</f>
        <v/>
      </c>
      <c r="E27" s="18">
        <f>C27+D27</f>
        <v/>
      </c>
      <c r="F27" s="18">
        <f>Setup!$B$3*Setup!$C$9</f>
        <v/>
      </c>
      <c r="G27" s="19">
        <f>IF(Setup!C42&gt;0,F27/Setup!C42,0)</f>
        <v/>
      </c>
      <c r="H27" s="19">
        <f>H26+G27</f>
        <v/>
      </c>
      <c r="I27" s="18">
        <f>H27*Setup!E42</f>
        <v/>
      </c>
      <c r="J27" s="18">
        <f>H27*Setup!D42</f>
        <v/>
      </c>
      <c r="K27" s="18">
        <f>Setup!$B$3*Setup!$C$10</f>
        <v/>
      </c>
      <c r="L27" s="19">
        <f>IF(Setup!F42&gt;0,K27/Setup!F42,0)</f>
        <v/>
      </c>
      <c r="M27" s="19">
        <f>M26+L27</f>
        <v/>
      </c>
      <c r="N27" s="18">
        <f>M27*Setup!H42</f>
        <v/>
      </c>
      <c r="O27" s="18">
        <f>M27*Setup!G42</f>
        <v/>
      </c>
      <c r="P27" s="18">
        <f>Setup!$B$3*Setup!$C$11</f>
        <v/>
      </c>
      <c r="Q27" s="19">
        <f>IF(Setup!I42&gt;0,P27/Setup!I42,0)</f>
        <v/>
      </c>
      <c r="R27" s="19">
        <f>R26+Q27</f>
        <v/>
      </c>
      <c r="S27" s="18">
        <f>R27*Setup!K42</f>
        <v/>
      </c>
      <c r="T27" s="18">
        <f>R27*Setup!J42</f>
        <v/>
      </c>
      <c r="U27" s="18">
        <f>Setup!$B$3*Setup!$C$12</f>
        <v/>
      </c>
      <c r="V27" s="19">
        <f>IF(Setup!L42&gt;0,U27/Setup!L42,0)</f>
        <v/>
      </c>
      <c r="W27" s="19">
        <f>W26+V27</f>
        <v/>
      </c>
      <c r="X27" s="18">
        <f>W27*Setup!N42</f>
        <v/>
      </c>
      <c r="Y27" s="18">
        <f>W27*Setup!M42</f>
        <v/>
      </c>
      <c r="Z27" s="18">
        <f>Setup!$B$3*Setup!$C$13</f>
        <v/>
      </c>
      <c r="AA27" s="19">
        <f>IF(Setup!O42&gt;0,Z27/Setup!O42,0)</f>
        <v/>
      </c>
      <c r="AB27" s="19">
        <f>AB26+AA27</f>
        <v/>
      </c>
      <c r="AC27" s="18">
        <f>AB27*Setup!Q42</f>
        <v/>
      </c>
      <c r="AD27" s="18">
        <f>AB27*Setup!P42</f>
        <v/>
      </c>
      <c r="AE27" s="18">
        <f>I27+N27+S27+X27+AC27</f>
        <v/>
      </c>
      <c r="AF27" s="18">
        <f>E27+AE27</f>
        <v/>
      </c>
      <c r="AG27" s="18">
        <f>AG26+F27+K27+P27+U27+Z27</f>
        <v/>
      </c>
      <c r="AH27" s="18">
        <f>J27+O27+T27+Y27+AD27</f>
        <v/>
      </c>
      <c r="AI27" s="18">
        <f>ROUND(AI26*(1+B27/12),2)+Setup!$B$3</f>
        <v/>
      </c>
    </row>
    <row r="28">
      <c r="A28" s="8">
        <f>Setup!A43</f>
        <v/>
      </c>
      <c r="B28" s="9">
        <f>Setup!B43</f>
        <v/>
      </c>
      <c r="C28" s="10">
        <f>AF27</f>
        <v/>
      </c>
      <c r="D28" s="16">
        <f>ROUND(C28*B28/12,2)</f>
        <v/>
      </c>
      <c r="E28" s="16">
        <f>C28+D28</f>
        <v/>
      </c>
      <c r="F28" s="16">
        <f>Setup!$B$3*Setup!$C$9</f>
        <v/>
      </c>
      <c r="G28" s="17">
        <f>IF(Setup!C43&gt;0,F28/Setup!C43,0)</f>
        <v/>
      </c>
      <c r="H28" s="17">
        <f>H27+G28</f>
        <v/>
      </c>
      <c r="I28" s="16">
        <f>H28*Setup!E43</f>
        <v/>
      </c>
      <c r="J28" s="16">
        <f>H28*Setup!D43</f>
        <v/>
      </c>
      <c r="K28" s="16">
        <f>Setup!$B$3*Setup!$C$10</f>
        <v/>
      </c>
      <c r="L28" s="17">
        <f>IF(Setup!F43&gt;0,K28/Setup!F43,0)</f>
        <v/>
      </c>
      <c r="M28" s="17">
        <f>M27+L28</f>
        <v/>
      </c>
      <c r="N28" s="16">
        <f>M28*Setup!H43</f>
        <v/>
      </c>
      <c r="O28" s="16">
        <f>M28*Setup!G43</f>
        <v/>
      </c>
      <c r="P28" s="16">
        <f>Setup!$B$3*Setup!$C$11</f>
        <v/>
      </c>
      <c r="Q28" s="17">
        <f>IF(Setup!I43&gt;0,P28/Setup!I43,0)</f>
        <v/>
      </c>
      <c r="R28" s="17">
        <f>R27+Q28</f>
        <v/>
      </c>
      <c r="S28" s="16">
        <f>R28*Setup!K43</f>
        <v/>
      </c>
      <c r="T28" s="16">
        <f>R28*Setup!J43</f>
        <v/>
      </c>
      <c r="U28" s="16">
        <f>Setup!$B$3*Setup!$C$12</f>
        <v/>
      </c>
      <c r="V28" s="17">
        <f>IF(Setup!L43&gt;0,U28/Setup!L43,0)</f>
        <v/>
      </c>
      <c r="W28" s="17">
        <f>W27+V28</f>
        <v/>
      </c>
      <c r="X28" s="16">
        <f>W28*Setup!N43</f>
        <v/>
      </c>
      <c r="Y28" s="16">
        <f>W28*Setup!M43</f>
        <v/>
      </c>
      <c r="Z28" s="16">
        <f>Setup!$B$3*Setup!$C$13</f>
        <v/>
      </c>
      <c r="AA28" s="17">
        <f>IF(Setup!O43&gt;0,Z28/Setup!O43,0)</f>
        <v/>
      </c>
      <c r="AB28" s="17">
        <f>AB27+AA28</f>
        <v/>
      </c>
      <c r="AC28" s="16">
        <f>AB28*Setup!Q43</f>
        <v/>
      </c>
      <c r="AD28" s="16">
        <f>AB28*Setup!P43</f>
        <v/>
      </c>
      <c r="AE28" s="16">
        <f>I28+N28+S28+X28+AC28</f>
        <v/>
      </c>
      <c r="AF28" s="16">
        <f>E28+AE28</f>
        <v/>
      </c>
      <c r="AG28" s="16">
        <f>AG27+F28+K28+P28+U28+Z28</f>
        <v/>
      </c>
      <c r="AH28" s="16">
        <f>J28+O28+T28+Y28+AD28</f>
        <v/>
      </c>
      <c r="AI28" s="16">
        <f>ROUND(AI27*(1+B28/12),2)+Setup!$B$3</f>
        <v/>
      </c>
    </row>
    <row r="29">
      <c r="A29" s="6">
        <f>Setup!A44</f>
        <v/>
      </c>
      <c r="B29" s="12">
        <f>Setup!B44</f>
        <v/>
      </c>
      <c r="C29" s="13">
        <f>AF28</f>
        <v/>
      </c>
      <c r="D29" s="18">
        <f>ROUND(C29*B29/12,2)</f>
        <v/>
      </c>
      <c r="E29" s="18">
        <f>C29+D29</f>
        <v/>
      </c>
      <c r="F29" s="18">
        <f>Setup!$B$3*Setup!$C$9</f>
        <v/>
      </c>
      <c r="G29" s="19">
        <f>IF(Setup!C44&gt;0,F29/Setup!C44,0)</f>
        <v/>
      </c>
      <c r="H29" s="19">
        <f>H28+G29</f>
        <v/>
      </c>
      <c r="I29" s="18">
        <f>H29*Setup!E44</f>
        <v/>
      </c>
      <c r="J29" s="18">
        <f>H29*Setup!D44</f>
        <v/>
      </c>
      <c r="K29" s="18">
        <f>Setup!$B$3*Setup!$C$10</f>
        <v/>
      </c>
      <c r="L29" s="19">
        <f>IF(Setup!F44&gt;0,K29/Setup!F44,0)</f>
        <v/>
      </c>
      <c r="M29" s="19">
        <f>M28+L29</f>
        <v/>
      </c>
      <c r="N29" s="18">
        <f>M29*Setup!H44</f>
        <v/>
      </c>
      <c r="O29" s="18">
        <f>M29*Setup!G44</f>
        <v/>
      </c>
      <c r="P29" s="18">
        <f>Setup!$B$3*Setup!$C$11</f>
        <v/>
      </c>
      <c r="Q29" s="19">
        <f>IF(Setup!I44&gt;0,P29/Setup!I44,0)</f>
        <v/>
      </c>
      <c r="R29" s="19">
        <f>R28+Q29</f>
        <v/>
      </c>
      <c r="S29" s="18">
        <f>R29*Setup!K44</f>
        <v/>
      </c>
      <c r="T29" s="18">
        <f>R29*Setup!J44</f>
        <v/>
      </c>
      <c r="U29" s="18">
        <f>Setup!$B$3*Setup!$C$12</f>
        <v/>
      </c>
      <c r="V29" s="19">
        <f>IF(Setup!L44&gt;0,U29/Setup!L44,0)</f>
        <v/>
      </c>
      <c r="W29" s="19">
        <f>W28+V29</f>
        <v/>
      </c>
      <c r="X29" s="18">
        <f>W29*Setup!N44</f>
        <v/>
      </c>
      <c r="Y29" s="18">
        <f>W29*Setup!M44</f>
        <v/>
      </c>
      <c r="Z29" s="18">
        <f>Setup!$B$3*Setup!$C$13</f>
        <v/>
      </c>
      <c r="AA29" s="19">
        <f>IF(Setup!O44&gt;0,Z29/Setup!O44,0)</f>
        <v/>
      </c>
      <c r="AB29" s="19">
        <f>AB28+AA29</f>
        <v/>
      </c>
      <c r="AC29" s="18">
        <f>AB29*Setup!Q44</f>
        <v/>
      </c>
      <c r="AD29" s="18">
        <f>AB29*Setup!P44</f>
        <v/>
      </c>
      <c r="AE29" s="18">
        <f>I29+N29+S29+X29+AC29</f>
        <v/>
      </c>
      <c r="AF29" s="18">
        <f>E29+AE29</f>
        <v/>
      </c>
      <c r="AG29" s="18">
        <f>AG28+F29+K29+P29+U29+Z29</f>
        <v/>
      </c>
      <c r="AH29" s="18">
        <f>J29+O29+T29+Y29+AD29</f>
        <v/>
      </c>
      <c r="AI29" s="18">
        <f>ROUND(AI28*(1+B29/12),2)+Setup!$B$3</f>
        <v/>
      </c>
    </row>
    <row r="30">
      <c r="A30" s="8">
        <f>Setup!A45</f>
        <v/>
      </c>
      <c r="B30" s="9">
        <f>Setup!B45</f>
        <v/>
      </c>
      <c r="C30" s="10">
        <f>AF29</f>
        <v/>
      </c>
      <c r="D30" s="16">
        <f>ROUND(C30*B30/12,2)</f>
        <v/>
      </c>
      <c r="E30" s="16">
        <f>C30+D30</f>
        <v/>
      </c>
      <c r="F30" s="16">
        <f>Setup!$B$3*Setup!$C$9</f>
        <v/>
      </c>
      <c r="G30" s="17">
        <f>IF(Setup!C45&gt;0,F30/Setup!C45,0)</f>
        <v/>
      </c>
      <c r="H30" s="17">
        <f>H29+G30</f>
        <v/>
      </c>
      <c r="I30" s="16">
        <f>H30*Setup!E45</f>
        <v/>
      </c>
      <c r="J30" s="16">
        <f>H30*Setup!D45</f>
        <v/>
      </c>
      <c r="K30" s="16">
        <f>Setup!$B$3*Setup!$C$10</f>
        <v/>
      </c>
      <c r="L30" s="17">
        <f>IF(Setup!F45&gt;0,K30/Setup!F45,0)</f>
        <v/>
      </c>
      <c r="M30" s="17">
        <f>M29+L30</f>
        <v/>
      </c>
      <c r="N30" s="16">
        <f>M30*Setup!H45</f>
        <v/>
      </c>
      <c r="O30" s="16">
        <f>M30*Setup!G45</f>
        <v/>
      </c>
      <c r="P30" s="16">
        <f>Setup!$B$3*Setup!$C$11</f>
        <v/>
      </c>
      <c r="Q30" s="17">
        <f>IF(Setup!I45&gt;0,P30/Setup!I45,0)</f>
        <v/>
      </c>
      <c r="R30" s="17">
        <f>R29+Q30</f>
        <v/>
      </c>
      <c r="S30" s="16">
        <f>R30*Setup!K45</f>
        <v/>
      </c>
      <c r="T30" s="16">
        <f>R30*Setup!J45</f>
        <v/>
      </c>
      <c r="U30" s="16">
        <f>Setup!$B$3*Setup!$C$12</f>
        <v/>
      </c>
      <c r="V30" s="17">
        <f>IF(Setup!L45&gt;0,U30/Setup!L45,0)</f>
        <v/>
      </c>
      <c r="W30" s="17">
        <f>W29+V30</f>
        <v/>
      </c>
      <c r="X30" s="16">
        <f>W30*Setup!N45</f>
        <v/>
      </c>
      <c r="Y30" s="16">
        <f>W30*Setup!M45</f>
        <v/>
      </c>
      <c r="Z30" s="16">
        <f>Setup!$B$3*Setup!$C$13</f>
        <v/>
      </c>
      <c r="AA30" s="17">
        <f>IF(Setup!O45&gt;0,Z30/Setup!O45,0)</f>
        <v/>
      </c>
      <c r="AB30" s="17">
        <f>AB29+AA30</f>
        <v/>
      </c>
      <c r="AC30" s="16">
        <f>AB30*Setup!Q45</f>
        <v/>
      </c>
      <c r="AD30" s="16">
        <f>AB30*Setup!P45</f>
        <v/>
      </c>
      <c r="AE30" s="16">
        <f>I30+N30+S30+X30+AC30</f>
        <v/>
      </c>
      <c r="AF30" s="16">
        <f>E30+AE30</f>
        <v/>
      </c>
      <c r="AG30" s="16">
        <f>AG29+F30+K30+P30+U30+Z30</f>
        <v/>
      </c>
      <c r="AH30" s="16">
        <f>J30+O30+T30+Y30+AD30</f>
        <v/>
      </c>
      <c r="AI30" s="16">
        <f>ROUND(AI29*(1+B30/12),2)+Setup!$B$3</f>
        <v/>
      </c>
    </row>
    <row r="31">
      <c r="A31" s="6">
        <f>Setup!A46</f>
        <v/>
      </c>
      <c r="B31" s="12">
        <f>Setup!B46</f>
        <v/>
      </c>
      <c r="C31" s="13">
        <f>AF30</f>
        <v/>
      </c>
      <c r="D31" s="18">
        <f>ROUND(C31*B31/12,2)</f>
        <v/>
      </c>
      <c r="E31" s="18">
        <f>C31+D31</f>
        <v/>
      </c>
      <c r="F31" s="18">
        <f>Setup!$B$3*Setup!$C$9</f>
        <v/>
      </c>
      <c r="G31" s="19">
        <f>IF(Setup!C46&gt;0,F31/Setup!C46,0)</f>
        <v/>
      </c>
      <c r="H31" s="19">
        <f>H30+G31</f>
        <v/>
      </c>
      <c r="I31" s="18">
        <f>H31*Setup!E46</f>
        <v/>
      </c>
      <c r="J31" s="18">
        <f>H31*Setup!D46</f>
        <v/>
      </c>
      <c r="K31" s="18">
        <f>Setup!$B$3*Setup!$C$10</f>
        <v/>
      </c>
      <c r="L31" s="19">
        <f>IF(Setup!F46&gt;0,K31/Setup!F46,0)</f>
        <v/>
      </c>
      <c r="M31" s="19">
        <f>M30+L31</f>
        <v/>
      </c>
      <c r="N31" s="18">
        <f>M31*Setup!H46</f>
        <v/>
      </c>
      <c r="O31" s="18">
        <f>M31*Setup!G46</f>
        <v/>
      </c>
      <c r="P31" s="18">
        <f>Setup!$B$3*Setup!$C$11</f>
        <v/>
      </c>
      <c r="Q31" s="19">
        <f>IF(Setup!I46&gt;0,P31/Setup!I46,0)</f>
        <v/>
      </c>
      <c r="R31" s="19">
        <f>R30+Q31</f>
        <v/>
      </c>
      <c r="S31" s="18">
        <f>R31*Setup!K46</f>
        <v/>
      </c>
      <c r="T31" s="18">
        <f>R31*Setup!J46</f>
        <v/>
      </c>
      <c r="U31" s="18">
        <f>Setup!$B$3*Setup!$C$12</f>
        <v/>
      </c>
      <c r="V31" s="19">
        <f>IF(Setup!L46&gt;0,U31/Setup!L46,0)</f>
        <v/>
      </c>
      <c r="W31" s="19">
        <f>W30+V31</f>
        <v/>
      </c>
      <c r="X31" s="18">
        <f>W31*Setup!N46</f>
        <v/>
      </c>
      <c r="Y31" s="18">
        <f>W31*Setup!M46</f>
        <v/>
      </c>
      <c r="Z31" s="18">
        <f>Setup!$B$3*Setup!$C$13</f>
        <v/>
      </c>
      <c r="AA31" s="19">
        <f>IF(Setup!O46&gt;0,Z31/Setup!O46,0)</f>
        <v/>
      </c>
      <c r="AB31" s="19">
        <f>AB30+AA31</f>
        <v/>
      </c>
      <c r="AC31" s="18">
        <f>AB31*Setup!Q46</f>
        <v/>
      </c>
      <c r="AD31" s="18">
        <f>AB31*Setup!P46</f>
        <v/>
      </c>
      <c r="AE31" s="18">
        <f>I31+N31+S31+X31+AC31</f>
        <v/>
      </c>
      <c r="AF31" s="18">
        <f>E31+AE31</f>
        <v/>
      </c>
      <c r="AG31" s="18">
        <f>AG30+F31+K31+P31+U31+Z31</f>
        <v/>
      </c>
      <c r="AH31" s="18">
        <f>J31+O31+T31+Y31+AD31</f>
        <v/>
      </c>
      <c r="AI31" s="18">
        <f>ROUND(AI30*(1+B31/12),2)+Setup!$B$3</f>
        <v/>
      </c>
    </row>
    <row r="32">
      <c r="A32" s="8">
        <f>Setup!A47</f>
        <v/>
      </c>
      <c r="B32" s="9">
        <f>Setup!B47</f>
        <v/>
      </c>
      <c r="C32" s="10">
        <f>AF31</f>
        <v/>
      </c>
      <c r="D32" s="16">
        <f>ROUND(C32*B32/12,2)</f>
        <v/>
      </c>
      <c r="E32" s="16">
        <f>C32+D32</f>
        <v/>
      </c>
      <c r="F32" s="16">
        <f>Setup!$B$3*Setup!$C$9</f>
        <v/>
      </c>
      <c r="G32" s="17">
        <f>IF(Setup!C47&gt;0,F32/Setup!C47,0)</f>
        <v/>
      </c>
      <c r="H32" s="17">
        <f>H31+G32</f>
        <v/>
      </c>
      <c r="I32" s="16">
        <f>H32*Setup!E47</f>
        <v/>
      </c>
      <c r="J32" s="16">
        <f>H32*Setup!D47</f>
        <v/>
      </c>
      <c r="K32" s="16">
        <f>Setup!$B$3*Setup!$C$10</f>
        <v/>
      </c>
      <c r="L32" s="17">
        <f>IF(Setup!F47&gt;0,K32/Setup!F47,0)</f>
        <v/>
      </c>
      <c r="M32" s="17">
        <f>M31+L32</f>
        <v/>
      </c>
      <c r="N32" s="16">
        <f>M32*Setup!H47</f>
        <v/>
      </c>
      <c r="O32" s="16">
        <f>M32*Setup!G47</f>
        <v/>
      </c>
      <c r="P32" s="16">
        <f>Setup!$B$3*Setup!$C$11</f>
        <v/>
      </c>
      <c r="Q32" s="17">
        <f>IF(Setup!I47&gt;0,P32/Setup!I47,0)</f>
        <v/>
      </c>
      <c r="R32" s="17">
        <f>R31+Q32</f>
        <v/>
      </c>
      <c r="S32" s="16">
        <f>R32*Setup!K47</f>
        <v/>
      </c>
      <c r="T32" s="16">
        <f>R32*Setup!J47</f>
        <v/>
      </c>
      <c r="U32" s="16">
        <f>Setup!$B$3*Setup!$C$12</f>
        <v/>
      </c>
      <c r="V32" s="17">
        <f>IF(Setup!L47&gt;0,U32/Setup!L47,0)</f>
        <v/>
      </c>
      <c r="W32" s="17">
        <f>W31+V32</f>
        <v/>
      </c>
      <c r="X32" s="16">
        <f>W32*Setup!N47</f>
        <v/>
      </c>
      <c r="Y32" s="16">
        <f>W32*Setup!M47</f>
        <v/>
      </c>
      <c r="Z32" s="16">
        <f>Setup!$B$3*Setup!$C$13</f>
        <v/>
      </c>
      <c r="AA32" s="17">
        <f>IF(Setup!O47&gt;0,Z32/Setup!O47,0)</f>
        <v/>
      </c>
      <c r="AB32" s="17">
        <f>AB31+AA32</f>
        <v/>
      </c>
      <c r="AC32" s="16">
        <f>AB32*Setup!Q47</f>
        <v/>
      </c>
      <c r="AD32" s="16">
        <f>AB32*Setup!P47</f>
        <v/>
      </c>
      <c r="AE32" s="16">
        <f>I32+N32+S32+X32+AC32</f>
        <v/>
      </c>
      <c r="AF32" s="16">
        <f>E32+AE32</f>
        <v/>
      </c>
      <c r="AG32" s="16">
        <f>AG31+F32+K32+P32+U32+Z32</f>
        <v/>
      </c>
      <c r="AH32" s="16">
        <f>J32+O32+T32+Y32+AD32</f>
        <v/>
      </c>
      <c r="AI32" s="16">
        <f>ROUND(AI31*(1+B32/12),2)+Setup!$B$3</f>
        <v/>
      </c>
    </row>
    <row r="33">
      <c r="A33" s="6">
        <f>Setup!A48</f>
        <v/>
      </c>
      <c r="B33" s="12">
        <f>Setup!B48</f>
        <v/>
      </c>
      <c r="C33" s="13">
        <f>AF32</f>
        <v/>
      </c>
      <c r="D33" s="18">
        <f>ROUND(C33*B33/12,2)</f>
        <v/>
      </c>
      <c r="E33" s="18">
        <f>C33+D33</f>
        <v/>
      </c>
      <c r="F33" s="18">
        <f>Setup!$B$3*Setup!$C$9</f>
        <v/>
      </c>
      <c r="G33" s="19">
        <f>IF(Setup!C48&gt;0,F33/Setup!C48,0)</f>
        <v/>
      </c>
      <c r="H33" s="19">
        <f>H32+G33</f>
        <v/>
      </c>
      <c r="I33" s="18">
        <f>H33*Setup!E48</f>
        <v/>
      </c>
      <c r="J33" s="18">
        <f>H33*Setup!D48</f>
        <v/>
      </c>
      <c r="K33" s="18">
        <f>Setup!$B$3*Setup!$C$10</f>
        <v/>
      </c>
      <c r="L33" s="19">
        <f>IF(Setup!F48&gt;0,K33/Setup!F48,0)</f>
        <v/>
      </c>
      <c r="M33" s="19">
        <f>M32+L33</f>
        <v/>
      </c>
      <c r="N33" s="18">
        <f>M33*Setup!H48</f>
        <v/>
      </c>
      <c r="O33" s="18">
        <f>M33*Setup!G48</f>
        <v/>
      </c>
      <c r="P33" s="18">
        <f>Setup!$B$3*Setup!$C$11</f>
        <v/>
      </c>
      <c r="Q33" s="19">
        <f>IF(Setup!I48&gt;0,P33/Setup!I48,0)</f>
        <v/>
      </c>
      <c r="R33" s="19">
        <f>R32+Q33</f>
        <v/>
      </c>
      <c r="S33" s="18">
        <f>R33*Setup!K48</f>
        <v/>
      </c>
      <c r="T33" s="18">
        <f>R33*Setup!J48</f>
        <v/>
      </c>
      <c r="U33" s="18">
        <f>Setup!$B$3*Setup!$C$12</f>
        <v/>
      </c>
      <c r="V33" s="19">
        <f>IF(Setup!L48&gt;0,U33/Setup!L48,0)</f>
        <v/>
      </c>
      <c r="W33" s="19">
        <f>W32+V33</f>
        <v/>
      </c>
      <c r="X33" s="18">
        <f>W33*Setup!N48</f>
        <v/>
      </c>
      <c r="Y33" s="18">
        <f>W33*Setup!M48</f>
        <v/>
      </c>
      <c r="Z33" s="18">
        <f>Setup!$B$3*Setup!$C$13</f>
        <v/>
      </c>
      <c r="AA33" s="19">
        <f>IF(Setup!O48&gt;0,Z33/Setup!O48,0)</f>
        <v/>
      </c>
      <c r="AB33" s="19">
        <f>AB32+AA33</f>
        <v/>
      </c>
      <c r="AC33" s="18">
        <f>AB33*Setup!Q48</f>
        <v/>
      </c>
      <c r="AD33" s="18">
        <f>AB33*Setup!P48</f>
        <v/>
      </c>
      <c r="AE33" s="18">
        <f>I33+N33+S33+X33+AC33</f>
        <v/>
      </c>
      <c r="AF33" s="18">
        <f>E33+AE33</f>
        <v/>
      </c>
      <c r="AG33" s="18">
        <f>AG32+F33+K33+P33+U33+Z33</f>
        <v/>
      </c>
      <c r="AH33" s="18">
        <f>J33+O33+T33+Y33+AD33</f>
        <v/>
      </c>
      <c r="AI33" s="18">
        <f>ROUND(AI32*(1+B33/12),2)+Setup!$B$3</f>
        <v/>
      </c>
    </row>
    <row r="34">
      <c r="A34" s="8">
        <f>Setup!A49</f>
        <v/>
      </c>
      <c r="B34" s="9">
        <f>Setup!B49</f>
        <v/>
      </c>
      <c r="C34" s="10">
        <f>AF33</f>
        <v/>
      </c>
      <c r="D34" s="16">
        <f>ROUND(C34*B34/12,2)</f>
        <v/>
      </c>
      <c r="E34" s="16">
        <f>C34+D34</f>
        <v/>
      </c>
      <c r="F34" s="16">
        <f>Setup!$B$3*Setup!$C$9</f>
        <v/>
      </c>
      <c r="G34" s="17">
        <f>IF(Setup!C49&gt;0,F34/Setup!C49,0)</f>
        <v/>
      </c>
      <c r="H34" s="17">
        <f>H33+G34</f>
        <v/>
      </c>
      <c r="I34" s="16">
        <f>H34*Setup!E49</f>
        <v/>
      </c>
      <c r="J34" s="16">
        <f>H34*Setup!D49</f>
        <v/>
      </c>
      <c r="K34" s="16">
        <f>Setup!$B$3*Setup!$C$10</f>
        <v/>
      </c>
      <c r="L34" s="17">
        <f>IF(Setup!F49&gt;0,K34/Setup!F49,0)</f>
        <v/>
      </c>
      <c r="M34" s="17">
        <f>M33+L34</f>
        <v/>
      </c>
      <c r="N34" s="16">
        <f>M34*Setup!H49</f>
        <v/>
      </c>
      <c r="O34" s="16">
        <f>M34*Setup!G49</f>
        <v/>
      </c>
      <c r="P34" s="16">
        <f>Setup!$B$3*Setup!$C$11</f>
        <v/>
      </c>
      <c r="Q34" s="17">
        <f>IF(Setup!I49&gt;0,P34/Setup!I49,0)</f>
        <v/>
      </c>
      <c r="R34" s="17">
        <f>R33+Q34</f>
        <v/>
      </c>
      <c r="S34" s="16">
        <f>R34*Setup!K49</f>
        <v/>
      </c>
      <c r="T34" s="16">
        <f>R34*Setup!J49</f>
        <v/>
      </c>
      <c r="U34" s="16">
        <f>Setup!$B$3*Setup!$C$12</f>
        <v/>
      </c>
      <c r="V34" s="17">
        <f>IF(Setup!L49&gt;0,U34/Setup!L49,0)</f>
        <v/>
      </c>
      <c r="W34" s="17">
        <f>W33+V34</f>
        <v/>
      </c>
      <c r="X34" s="16">
        <f>W34*Setup!N49</f>
        <v/>
      </c>
      <c r="Y34" s="16">
        <f>W34*Setup!M49</f>
        <v/>
      </c>
      <c r="Z34" s="16">
        <f>Setup!$B$3*Setup!$C$13</f>
        <v/>
      </c>
      <c r="AA34" s="17">
        <f>IF(Setup!O49&gt;0,Z34/Setup!O49,0)</f>
        <v/>
      </c>
      <c r="AB34" s="17">
        <f>AB33+AA34</f>
        <v/>
      </c>
      <c r="AC34" s="16">
        <f>AB34*Setup!Q49</f>
        <v/>
      </c>
      <c r="AD34" s="16">
        <f>AB34*Setup!P49</f>
        <v/>
      </c>
      <c r="AE34" s="16">
        <f>I34+N34+S34+X34+AC34</f>
        <v/>
      </c>
      <c r="AF34" s="16">
        <f>E34+AE34</f>
        <v/>
      </c>
      <c r="AG34" s="16">
        <f>AG33+F34+K34+P34+U34+Z34</f>
        <v/>
      </c>
      <c r="AH34" s="16">
        <f>J34+O34+T34+Y34+AD34</f>
        <v/>
      </c>
      <c r="AI34" s="16">
        <f>ROUND(AI33*(1+B34/12),2)+Setup!$B$3</f>
        <v/>
      </c>
    </row>
    <row r="35">
      <c r="A35" s="6">
        <f>Setup!A50</f>
        <v/>
      </c>
      <c r="B35" s="12">
        <f>Setup!B50</f>
        <v/>
      </c>
      <c r="C35" s="13">
        <f>AF34</f>
        <v/>
      </c>
      <c r="D35" s="18">
        <f>ROUND(C35*B35/12,2)</f>
        <v/>
      </c>
      <c r="E35" s="18">
        <f>C35+D35</f>
        <v/>
      </c>
      <c r="F35" s="18">
        <f>Setup!$B$3*Setup!$C$9</f>
        <v/>
      </c>
      <c r="G35" s="19">
        <f>IF(Setup!C50&gt;0,F35/Setup!C50,0)</f>
        <v/>
      </c>
      <c r="H35" s="19">
        <f>H34+G35</f>
        <v/>
      </c>
      <c r="I35" s="18">
        <f>H35*Setup!E50</f>
        <v/>
      </c>
      <c r="J35" s="18">
        <f>H35*Setup!D50</f>
        <v/>
      </c>
      <c r="K35" s="18">
        <f>Setup!$B$3*Setup!$C$10</f>
        <v/>
      </c>
      <c r="L35" s="19">
        <f>IF(Setup!F50&gt;0,K35/Setup!F50,0)</f>
        <v/>
      </c>
      <c r="M35" s="19">
        <f>M34+L35</f>
        <v/>
      </c>
      <c r="N35" s="18">
        <f>M35*Setup!H50</f>
        <v/>
      </c>
      <c r="O35" s="18">
        <f>M35*Setup!G50</f>
        <v/>
      </c>
      <c r="P35" s="18">
        <f>Setup!$B$3*Setup!$C$11</f>
        <v/>
      </c>
      <c r="Q35" s="19">
        <f>IF(Setup!I50&gt;0,P35/Setup!I50,0)</f>
        <v/>
      </c>
      <c r="R35" s="19">
        <f>R34+Q35</f>
        <v/>
      </c>
      <c r="S35" s="18">
        <f>R35*Setup!K50</f>
        <v/>
      </c>
      <c r="T35" s="18">
        <f>R35*Setup!J50</f>
        <v/>
      </c>
      <c r="U35" s="18">
        <f>Setup!$B$3*Setup!$C$12</f>
        <v/>
      </c>
      <c r="V35" s="19">
        <f>IF(Setup!L50&gt;0,U35/Setup!L50,0)</f>
        <v/>
      </c>
      <c r="W35" s="19">
        <f>W34+V35</f>
        <v/>
      </c>
      <c r="X35" s="18">
        <f>W35*Setup!N50</f>
        <v/>
      </c>
      <c r="Y35" s="18">
        <f>W35*Setup!M50</f>
        <v/>
      </c>
      <c r="Z35" s="18">
        <f>Setup!$B$3*Setup!$C$13</f>
        <v/>
      </c>
      <c r="AA35" s="19">
        <f>IF(Setup!O50&gt;0,Z35/Setup!O50,0)</f>
        <v/>
      </c>
      <c r="AB35" s="19">
        <f>AB34+AA35</f>
        <v/>
      </c>
      <c r="AC35" s="18">
        <f>AB35*Setup!Q50</f>
        <v/>
      </c>
      <c r="AD35" s="18">
        <f>AB35*Setup!P50</f>
        <v/>
      </c>
      <c r="AE35" s="18">
        <f>I35+N35+S35+X35+AC35</f>
        <v/>
      </c>
      <c r="AF35" s="18">
        <f>E35+AE35</f>
        <v/>
      </c>
      <c r="AG35" s="18">
        <f>AG34+F35+K35+P35+U35+Z35</f>
        <v/>
      </c>
      <c r="AH35" s="18">
        <f>J35+O35+T35+Y35+AD35</f>
        <v/>
      </c>
      <c r="AI35" s="18">
        <f>ROUND(AI34*(1+B35/12),2)+Setup!$B$3</f>
        <v/>
      </c>
    </row>
    <row r="36">
      <c r="A36" s="8">
        <f>Setup!A51</f>
        <v/>
      </c>
      <c r="B36" s="9">
        <f>Setup!B51</f>
        <v/>
      </c>
      <c r="C36" s="10">
        <f>AF35</f>
        <v/>
      </c>
      <c r="D36" s="16">
        <f>ROUND(C36*B36/12,2)</f>
        <v/>
      </c>
      <c r="E36" s="16">
        <f>C36+D36</f>
        <v/>
      </c>
      <c r="F36" s="16">
        <f>Setup!$B$3*Setup!$C$9</f>
        <v/>
      </c>
      <c r="G36" s="17">
        <f>IF(Setup!C51&gt;0,F36/Setup!C51,0)</f>
        <v/>
      </c>
      <c r="H36" s="17">
        <f>H35+G36</f>
        <v/>
      </c>
      <c r="I36" s="16">
        <f>H36*Setup!E51</f>
        <v/>
      </c>
      <c r="J36" s="16">
        <f>H36*Setup!D51</f>
        <v/>
      </c>
      <c r="K36" s="16">
        <f>Setup!$B$3*Setup!$C$10</f>
        <v/>
      </c>
      <c r="L36" s="17">
        <f>IF(Setup!F51&gt;0,K36/Setup!F51,0)</f>
        <v/>
      </c>
      <c r="M36" s="17">
        <f>M35+L36</f>
        <v/>
      </c>
      <c r="N36" s="16">
        <f>M36*Setup!H51</f>
        <v/>
      </c>
      <c r="O36" s="16">
        <f>M36*Setup!G51</f>
        <v/>
      </c>
      <c r="P36" s="16">
        <f>Setup!$B$3*Setup!$C$11</f>
        <v/>
      </c>
      <c r="Q36" s="17">
        <f>IF(Setup!I51&gt;0,P36/Setup!I51,0)</f>
        <v/>
      </c>
      <c r="R36" s="17">
        <f>R35+Q36</f>
        <v/>
      </c>
      <c r="S36" s="16">
        <f>R36*Setup!K51</f>
        <v/>
      </c>
      <c r="T36" s="16">
        <f>R36*Setup!J51</f>
        <v/>
      </c>
      <c r="U36" s="16">
        <f>Setup!$B$3*Setup!$C$12</f>
        <v/>
      </c>
      <c r="V36" s="17">
        <f>IF(Setup!L51&gt;0,U36/Setup!L51,0)</f>
        <v/>
      </c>
      <c r="W36" s="17">
        <f>W35+V36</f>
        <v/>
      </c>
      <c r="X36" s="16">
        <f>W36*Setup!N51</f>
        <v/>
      </c>
      <c r="Y36" s="16">
        <f>W36*Setup!M51</f>
        <v/>
      </c>
      <c r="Z36" s="16">
        <f>Setup!$B$3*Setup!$C$13</f>
        <v/>
      </c>
      <c r="AA36" s="17">
        <f>IF(Setup!O51&gt;0,Z36/Setup!O51,0)</f>
        <v/>
      </c>
      <c r="AB36" s="17">
        <f>AB35+AA36</f>
        <v/>
      </c>
      <c r="AC36" s="16">
        <f>AB36*Setup!Q51</f>
        <v/>
      </c>
      <c r="AD36" s="16">
        <f>AB36*Setup!P51</f>
        <v/>
      </c>
      <c r="AE36" s="16">
        <f>I36+N36+S36+X36+AC36</f>
        <v/>
      </c>
      <c r="AF36" s="16">
        <f>E36+AE36</f>
        <v/>
      </c>
      <c r="AG36" s="16">
        <f>AG35+F36+K36+P36+U36+Z36</f>
        <v/>
      </c>
      <c r="AH36" s="16">
        <f>J36+O36+T36+Y36+AD36</f>
        <v/>
      </c>
      <c r="AI36" s="16">
        <f>ROUND(AI35*(1+B36/12),2)+Setup!$B$3</f>
        <v/>
      </c>
    </row>
    <row r="37">
      <c r="A37" s="6">
        <f>Setup!A52</f>
        <v/>
      </c>
      <c r="B37" s="12">
        <f>Setup!B52</f>
        <v/>
      </c>
      <c r="C37" s="13">
        <f>AF36</f>
        <v/>
      </c>
      <c r="D37" s="18">
        <f>ROUND(C37*B37/12,2)</f>
        <v/>
      </c>
      <c r="E37" s="18">
        <f>C37+D37</f>
        <v/>
      </c>
      <c r="F37" s="18">
        <f>Setup!$B$3*Setup!$C$9</f>
        <v/>
      </c>
      <c r="G37" s="19">
        <f>IF(Setup!C52&gt;0,F37/Setup!C52,0)</f>
        <v/>
      </c>
      <c r="H37" s="19">
        <f>H36+G37</f>
        <v/>
      </c>
      <c r="I37" s="18">
        <f>H37*Setup!E52</f>
        <v/>
      </c>
      <c r="J37" s="18">
        <f>H37*Setup!D52</f>
        <v/>
      </c>
      <c r="K37" s="18">
        <f>Setup!$B$3*Setup!$C$10</f>
        <v/>
      </c>
      <c r="L37" s="19">
        <f>IF(Setup!F52&gt;0,K37/Setup!F52,0)</f>
        <v/>
      </c>
      <c r="M37" s="19">
        <f>M36+L37</f>
        <v/>
      </c>
      <c r="N37" s="18">
        <f>M37*Setup!H52</f>
        <v/>
      </c>
      <c r="O37" s="18">
        <f>M37*Setup!G52</f>
        <v/>
      </c>
      <c r="P37" s="18">
        <f>Setup!$B$3*Setup!$C$11</f>
        <v/>
      </c>
      <c r="Q37" s="19">
        <f>IF(Setup!I52&gt;0,P37/Setup!I52,0)</f>
        <v/>
      </c>
      <c r="R37" s="19">
        <f>R36+Q37</f>
        <v/>
      </c>
      <c r="S37" s="18">
        <f>R37*Setup!K52</f>
        <v/>
      </c>
      <c r="T37" s="18">
        <f>R37*Setup!J52</f>
        <v/>
      </c>
      <c r="U37" s="18">
        <f>Setup!$B$3*Setup!$C$12</f>
        <v/>
      </c>
      <c r="V37" s="19">
        <f>IF(Setup!L52&gt;0,U37/Setup!L52,0)</f>
        <v/>
      </c>
      <c r="W37" s="19">
        <f>W36+V37</f>
        <v/>
      </c>
      <c r="X37" s="18">
        <f>W37*Setup!N52</f>
        <v/>
      </c>
      <c r="Y37" s="18">
        <f>W37*Setup!M52</f>
        <v/>
      </c>
      <c r="Z37" s="18">
        <f>Setup!$B$3*Setup!$C$13</f>
        <v/>
      </c>
      <c r="AA37" s="19">
        <f>IF(Setup!O52&gt;0,Z37/Setup!O52,0)</f>
        <v/>
      </c>
      <c r="AB37" s="19">
        <f>AB36+AA37</f>
        <v/>
      </c>
      <c r="AC37" s="18">
        <f>AB37*Setup!Q52</f>
        <v/>
      </c>
      <c r="AD37" s="18">
        <f>AB37*Setup!P52</f>
        <v/>
      </c>
      <c r="AE37" s="18">
        <f>I37+N37+S37+X37+AC37</f>
        <v/>
      </c>
      <c r="AF37" s="18">
        <f>E37+AE37</f>
        <v/>
      </c>
      <c r="AG37" s="18">
        <f>AG36+F37+K37+P37+U37+Z37</f>
        <v/>
      </c>
      <c r="AH37" s="18">
        <f>J37+O37+T37+Y37+AD37</f>
        <v/>
      </c>
      <c r="AI37" s="18">
        <f>ROUND(AI36*(1+B37/12),2)+Setup!$B$3</f>
        <v/>
      </c>
    </row>
    <row r="38">
      <c r="A38" s="8">
        <f>Setup!A53</f>
        <v/>
      </c>
      <c r="B38" s="9">
        <f>Setup!B53</f>
        <v/>
      </c>
      <c r="C38" s="10">
        <f>AF37</f>
        <v/>
      </c>
      <c r="D38" s="16">
        <f>ROUND(C38*B38/12,2)</f>
        <v/>
      </c>
      <c r="E38" s="16">
        <f>C38+D38</f>
        <v/>
      </c>
      <c r="F38" s="16">
        <f>Setup!$B$3*Setup!$C$9</f>
        <v/>
      </c>
      <c r="G38" s="17">
        <f>IF(Setup!C53&gt;0,F38/Setup!C53,0)</f>
        <v/>
      </c>
      <c r="H38" s="17">
        <f>H37+G38</f>
        <v/>
      </c>
      <c r="I38" s="16">
        <f>H38*Setup!E53</f>
        <v/>
      </c>
      <c r="J38" s="16">
        <f>H38*Setup!D53</f>
        <v/>
      </c>
      <c r="K38" s="16">
        <f>Setup!$B$3*Setup!$C$10</f>
        <v/>
      </c>
      <c r="L38" s="17">
        <f>IF(Setup!F53&gt;0,K38/Setup!F53,0)</f>
        <v/>
      </c>
      <c r="M38" s="17">
        <f>M37+L38</f>
        <v/>
      </c>
      <c r="N38" s="16">
        <f>M38*Setup!H53</f>
        <v/>
      </c>
      <c r="O38" s="16">
        <f>M38*Setup!G53</f>
        <v/>
      </c>
      <c r="P38" s="16">
        <f>Setup!$B$3*Setup!$C$11</f>
        <v/>
      </c>
      <c r="Q38" s="17">
        <f>IF(Setup!I53&gt;0,P38/Setup!I53,0)</f>
        <v/>
      </c>
      <c r="R38" s="17">
        <f>R37+Q38</f>
        <v/>
      </c>
      <c r="S38" s="16">
        <f>R38*Setup!K53</f>
        <v/>
      </c>
      <c r="T38" s="16">
        <f>R38*Setup!J53</f>
        <v/>
      </c>
      <c r="U38" s="16">
        <f>Setup!$B$3*Setup!$C$12</f>
        <v/>
      </c>
      <c r="V38" s="17">
        <f>IF(Setup!L53&gt;0,U38/Setup!L53,0)</f>
        <v/>
      </c>
      <c r="W38" s="17">
        <f>W37+V38</f>
        <v/>
      </c>
      <c r="X38" s="16">
        <f>W38*Setup!N53</f>
        <v/>
      </c>
      <c r="Y38" s="16">
        <f>W38*Setup!M53</f>
        <v/>
      </c>
      <c r="Z38" s="16">
        <f>Setup!$B$3*Setup!$C$13</f>
        <v/>
      </c>
      <c r="AA38" s="17">
        <f>IF(Setup!O53&gt;0,Z38/Setup!O53,0)</f>
        <v/>
      </c>
      <c r="AB38" s="17">
        <f>AB37+AA38</f>
        <v/>
      </c>
      <c r="AC38" s="16">
        <f>AB38*Setup!Q53</f>
        <v/>
      </c>
      <c r="AD38" s="16">
        <f>AB38*Setup!P53</f>
        <v/>
      </c>
      <c r="AE38" s="16">
        <f>I38+N38+S38+X38+AC38</f>
        <v/>
      </c>
      <c r="AF38" s="16">
        <f>E38+AE38</f>
        <v/>
      </c>
      <c r="AG38" s="16">
        <f>AG37+F38+K38+P38+U38+Z38</f>
        <v/>
      </c>
      <c r="AH38" s="16">
        <f>J38+O38+T38+Y38+AD38</f>
        <v/>
      </c>
      <c r="AI38" s="16">
        <f>ROUND(AI37*(1+B38/12),2)+Setup!$B$3</f>
        <v/>
      </c>
    </row>
    <row r="39">
      <c r="A39" s="6">
        <f>Setup!A54</f>
        <v/>
      </c>
      <c r="B39" s="12">
        <f>Setup!B54</f>
        <v/>
      </c>
      <c r="C39" s="13">
        <f>AF38</f>
        <v/>
      </c>
      <c r="D39" s="18">
        <f>ROUND(C39*B39/12,2)</f>
        <v/>
      </c>
      <c r="E39" s="18">
        <f>C39+D39</f>
        <v/>
      </c>
      <c r="F39" s="18">
        <f>Setup!$B$3*Setup!$C$9</f>
        <v/>
      </c>
      <c r="G39" s="19">
        <f>IF(Setup!C54&gt;0,F39/Setup!C54,0)</f>
        <v/>
      </c>
      <c r="H39" s="19">
        <f>H38+G39</f>
        <v/>
      </c>
      <c r="I39" s="18">
        <f>H39*Setup!E54</f>
        <v/>
      </c>
      <c r="J39" s="18">
        <f>H39*Setup!D54</f>
        <v/>
      </c>
      <c r="K39" s="18">
        <f>Setup!$B$3*Setup!$C$10</f>
        <v/>
      </c>
      <c r="L39" s="19">
        <f>IF(Setup!F54&gt;0,K39/Setup!F54,0)</f>
        <v/>
      </c>
      <c r="M39" s="19">
        <f>M38+L39</f>
        <v/>
      </c>
      <c r="N39" s="18">
        <f>M39*Setup!H54</f>
        <v/>
      </c>
      <c r="O39" s="18">
        <f>M39*Setup!G54</f>
        <v/>
      </c>
      <c r="P39" s="18">
        <f>Setup!$B$3*Setup!$C$11</f>
        <v/>
      </c>
      <c r="Q39" s="19">
        <f>IF(Setup!I54&gt;0,P39/Setup!I54,0)</f>
        <v/>
      </c>
      <c r="R39" s="19">
        <f>R38+Q39</f>
        <v/>
      </c>
      <c r="S39" s="18">
        <f>R39*Setup!K54</f>
        <v/>
      </c>
      <c r="T39" s="18">
        <f>R39*Setup!J54</f>
        <v/>
      </c>
      <c r="U39" s="18">
        <f>Setup!$B$3*Setup!$C$12</f>
        <v/>
      </c>
      <c r="V39" s="19">
        <f>IF(Setup!L54&gt;0,U39/Setup!L54,0)</f>
        <v/>
      </c>
      <c r="W39" s="19">
        <f>W38+V39</f>
        <v/>
      </c>
      <c r="X39" s="18">
        <f>W39*Setup!N54</f>
        <v/>
      </c>
      <c r="Y39" s="18">
        <f>W39*Setup!M54</f>
        <v/>
      </c>
      <c r="Z39" s="18">
        <f>Setup!$B$3*Setup!$C$13</f>
        <v/>
      </c>
      <c r="AA39" s="19">
        <f>IF(Setup!O54&gt;0,Z39/Setup!O54,0)</f>
        <v/>
      </c>
      <c r="AB39" s="19">
        <f>AB38+AA39</f>
        <v/>
      </c>
      <c r="AC39" s="18">
        <f>AB39*Setup!Q54</f>
        <v/>
      </c>
      <c r="AD39" s="18">
        <f>AB39*Setup!P54</f>
        <v/>
      </c>
      <c r="AE39" s="18">
        <f>I39+N39+S39+X39+AC39</f>
        <v/>
      </c>
      <c r="AF39" s="18">
        <f>E39+AE39</f>
        <v/>
      </c>
      <c r="AG39" s="18">
        <f>AG38+F39+K39+P39+U39+Z39</f>
        <v/>
      </c>
      <c r="AH39" s="18">
        <f>J39+O39+T39+Y39+AD39</f>
        <v/>
      </c>
      <c r="AI39" s="18">
        <f>ROUND(AI38*(1+B39/12),2)+Setup!$B$3</f>
        <v/>
      </c>
    </row>
    <row r="40">
      <c r="A40" s="8">
        <f>Setup!A55</f>
        <v/>
      </c>
      <c r="B40" s="9">
        <f>Setup!B55</f>
        <v/>
      </c>
      <c r="C40" s="10">
        <f>AF39</f>
        <v/>
      </c>
      <c r="D40" s="16">
        <f>ROUND(C40*B40/12,2)</f>
        <v/>
      </c>
      <c r="E40" s="16">
        <f>C40+D40</f>
        <v/>
      </c>
      <c r="F40" s="16">
        <f>Setup!$B$3*Setup!$C$9</f>
        <v/>
      </c>
      <c r="G40" s="17">
        <f>IF(Setup!C55&gt;0,F40/Setup!C55,0)</f>
        <v/>
      </c>
      <c r="H40" s="17">
        <f>H39+G40</f>
        <v/>
      </c>
      <c r="I40" s="16">
        <f>H40*Setup!E55</f>
        <v/>
      </c>
      <c r="J40" s="16">
        <f>H40*Setup!D55</f>
        <v/>
      </c>
      <c r="K40" s="16">
        <f>Setup!$B$3*Setup!$C$10</f>
        <v/>
      </c>
      <c r="L40" s="17">
        <f>IF(Setup!F55&gt;0,K40/Setup!F55,0)</f>
        <v/>
      </c>
      <c r="M40" s="17">
        <f>M39+L40</f>
        <v/>
      </c>
      <c r="N40" s="16">
        <f>M40*Setup!H55</f>
        <v/>
      </c>
      <c r="O40" s="16">
        <f>M40*Setup!G55</f>
        <v/>
      </c>
      <c r="P40" s="16">
        <f>Setup!$B$3*Setup!$C$11</f>
        <v/>
      </c>
      <c r="Q40" s="17">
        <f>IF(Setup!I55&gt;0,P40/Setup!I55,0)</f>
        <v/>
      </c>
      <c r="R40" s="17">
        <f>R39+Q40</f>
        <v/>
      </c>
      <c r="S40" s="16">
        <f>R40*Setup!K55</f>
        <v/>
      </c>
      <c r="T40" s="16">
        <f>R40*Setup!J55</f>
        <v/>
      </c>
      <c r="U40" s="16">
        <f>Setup!$B$3*Setup!$C$12</f>
        <v/>
      </c>
      <c r="V40" s="17">
        <f>IF(Setup!L55&gt;0,U40/Setup!L55,0)</f>
        <v/>
      </c>
      <c r="W40" s="17">
        <f>W39+V40</f>
        <v/>
      </c>
      <c r="X40" s="16">
        <f>W40*Setup!N55</f>
        <v/>
      </c>
      <c r="Y40" s="16">
        <f>W40*Setup!M55</f>
        <v/>
      </c>
      <c r="Z40" s="16">
        <f>Setup!$B$3*Setup!$C$13</f>
        <v/>
      </c>
      <c r="AA40" s="17">
        <f>IF(Setup!O55&gt;0,Z40/Setup!O55,0)</f>
        <v/>
      </c>
      <c r="AB40" s="17">
        <f>AB39+AA40</f>
        <v/>
      </c>
      <c r="AC40" s="16">
        <f>AB40*Setup!Q55</f>
        <v/>
      </c>
      <c r="AD40" s="16">
        <f>AB40*Setup!P55</f>
        <v/>
      </c>
      <c r="AE40" s="16">
        <f>I40+N40+S40+X40+AC40</f>
        <v/>
      </c>
      <c r="AF40" s="16">
        <f>E40+AE40</f>
        <v/>
      </c>
      <c r="AG40" s="16">
        <f>AG39+F40+K40+P40+U40+Z40</f>
        <v/>
      </c>
      <c r="AH40" s="16">
        <f>J40+O40+T40+Y40+AD40</f>
        <v/>
      </c>
      <c r="AI40" s="16">
        <f>ROUND(AI39*(1+B40/12),2)+Setup!$B$3</f>
        <v/>
      </c>
    </row>
    <row r="41">
      <c r="A41" s="6">
        <f>Setup!A56</f>
        <v/>
      </c>
      <c r="B41" s="12">
        <f>Setup!B56</f>
        <v/>
      </c>
      <c r="C41" s="13">
        <f>AF40</f>
        <v/>
      </c>
      <c r="D41" s="18">
        <f>ROUND(C41*B41/12,2)</f>
        <v/>
      </c>
      <c r="E41" s="18">
        <f>C41+D41</f>
        <v/>
      </c>
      <c r="F41" s="18">
        <f>Setup!$B$3*Setup!$C$9</f>
        <v/>
      </c>
      <c r="G41" s="19">
        <f>IF(Setup!C56&gt;0,F41/Setup!C56,0)</f>
        <v/>
      </c>
      <c r="H41" s="19">
        <f>H40+G41</f>
        <v/>
      </c>
      <c r="I41" s="18">
        <f>H41*Setup!E56</f>
        <v/>
      </c>
      <c r="J41" s="18">
        <f>H41*Setup!D56</f>
        <v/>
      </c>
      <c r="K41" s="18">
        <f>Setup!$B$3*Setup!$C$10</f>
        <v/>
      </c>
      <c r="L41" s="19">
        <f>IF(Setup!F56&gt;0,K41/Setup!F56,0)</f>
        <v/>
      </c>
      <c r="M41" s="19">
        <f>M40+L41</f>
        <v/>
      </c>
      <c r="N41" s="18">
        <f>M41*Setup!H56</f>
        <v/>
      </c>
      <c r="O41" s="18">
        <f>M41*Setup!G56</f>
        <v/>
      </c>
      <c r="P41" s="18">
        <f>Setup!$B$3*Setup!$C$11</f>
        <v/>
      </c>
      <c r="Q41" s="19">
        <f>IF(Setup!I56&gt;0,P41/Setup!I56,0)</f>
        <v/>
      </c>
      <c r="R41" s="19">
        <f>R40+Q41</f>
        <v/>
      </c>
      <c r="S41" s="18">
        <f>R41*Setup!K56</f>
        <v/>
      </c>
      <c r="T41" s="18">
        <f>R41*Setup!J56</f>
        <v/>
      </c>
      <c r="U41" s="18">
        <f>Setup!$B$3*Setup!$C$12</f>
        <v/>
      </c>
      <c r="V41" s="19">
        <f>IF(Setup!L56&gt;0,U41/Setup!L56,0)</f>
        <v/>
      </c>
      <c r="W41" s="19">
        <f>W40+V41</f>
        <v/>
      </c>
      <c r="X41" s="18">
        <f>W41*Setup!N56</f>
        <v/>
      </c>
      <c r="Y41" s="18">
        <f>W41*Setup!M56</f>
        <v/>
      </c>
      <c r="Z41" s="18">
        <f>Setup!$B$3*Setup!$C$13</f>
        <v/>
      </c>
      <c r="AA41" s="19">
        <f>IF(Setup!O56&gt;0,Z41/Setup!O56,0)</f>
        <v/>
      </c>
      <c r="AB41" s="19">
        <f>AB40+AA41</f>
        <v/>
      </c>
      <c r="AC41" s="18">
        <f>AB41*Setup!Q56</f>
        <v/>
      </c>
      <c r="AD41" s="18">
        <f>AB41*Setup!P56</f>
        <v/>
      </c>
      <c r="AE41" s="18">
        <f>I41+N41+S41+X41+AC41</f>
        <v/>
      </c>
      <c r="AF41" s="18">
        <f>E41+AE41</f>
        <v/>
      </c>
      <c r="AG41" s="18">
        <f>AG40+F41+K41+P41+U41+Z41</f>
        <v/>
      </c>
      <c r="AH41" s="18">
        <f>J41+O41+T41+Y41+AD41</f>
        <v/>
      </c>
      <c r="AI41" s="18">
        <f>ROUND(AI40*(1+B41/12),2)+Setup!$B$3</f>
        <v/>
      </c>
    </row>
    <row r="42">
      <c r="A42" s="8">
        <f>Setup!A57</f>
        <v/>
      </c>
      <c r="B42" s="9">
        <f>Setup!B57</f>
        <v/>
      </c>
      <c r="C42" s="10">
        <f>AF41</f>
        <v/>
      </c>
      <c r="D42" s="16">
        <f>ROUND(C42*B42/12,2)</f>
        <v/>
      </c>
      <c r="E42" s="16">
        <f>C42+D42</f>
        <v/>
      </c>
      <c r="F42" s="16">
        <f>Setup!$B$3*Setup!$C$9</f>
        <v/>
      </c>
      <c r="G42" s="17">
        <f>IF(Setup!C57&gt;0,F42/Setup!C57,0)</f>
        <v/>
      </c>
      <c r="H42" s="17">
        <f>H41+G42</f>
        <v/>
      </c>
      <c r="I42" s="16">
        <f>H42*Setup!E57</f>
        <v/>
      </c>
      <c r="J42" s="16">
        <f>H42*Setup!D57</f>
        <v/>
      </c>
      <c r="K42" s="16">
        <f>Setup!$B$3*Setup!$C$10</f>
        <v/>
      </c>
      <c r="L42" s="17">
        <f>IF(Setup!F57&gt;0,K42/Setup!F57,0)</f>
        <v/>
      </c>
      <c r="M42" s="17">
        <f>M41+L42</f>
        <v/>
      </c>
      <c r="N42" s="16">
        <f>M42*Setup!H57</f>
        <v/>
      </c>
      <c r="O42" s="16">
        <f>M42*Setup!G57</f>
        <v/>
      </c>
      <c r="P42" s="16">
        <f>Setup!$B$3*Setup!$C$11</f>
        <v/>
      </c>
      <c r="Q42" s="17">
        <f>IF(Setup!I57&gt;0,P42/Setup!I57,0)</f>
        <v/>
      </c>
      <c r="R42" s="17">
        <f>R41+Q42</f>
        <v/>
      </c>
      <c r="S42" s="16">
        <f>R42*Setup!K57</f>
        <v/>
      </c>
      <c r="T42" s="16">
        <f>R42*Setup!J57</f>
        <v/>
      </c>
      <c r="U42" s="16">
        <f>Setup!$B$3*Setup!$C$12</f>
        <v/>
      </c>
      <c r="V42" s="17">
        <f>IF(Setup!L57&gt;0,U42/Setup!L57,0)</f>
        <v/>
      </c>
      <c r="W42" s="17">
        <f>W41+V42</f>
        <v/>
      </c>
      <c r="X42" s="16">
        <f>W42*Setup!N57</f>
        <v/>
      </c>
      <c r="Y42" s="16">
        <f>W42*Setup!M57</f>
        <v/>
      </c>
      <c r="Z42" s="16">
        <f>Setup!$B$3*Setup!$C$13</f>
        <v/>
      </c>
      <c r="AA42" s="17">
        <f>IF(Setup!O57&gt;0,Z42/Setup!O57,0)</f>
        <v/>
      </c>
      <c r="AB42" s="17">
        <f>AB41+AA42</f>
        <v/>
      </c>
      <c r="AC42" s="16">
        <f>AB42*Setup!Q57</f>
        <v/>
      </c>
      <c r="AD42" s="16">
        <f>AB42*Setup!P57</f>
        <v/>
      </c>
      <c r="AE42" s="16">
        <f>I42+N42+S42+X42+AC42</f>
        <v/>
      </c>
      <c r="AF42" s="16">
        <f>E42+AE42</f>
        <v/>
      </c>
      <c r="AG42" s="16">
        <f>AG41+F42+K42+P42+U42+Z42</f>
        <v/>
      </c>
      <c r="AH42" s="16">
        <f>J42+O42+T42+Y42+AD42</f>
        <v/>
      </c>
      <c r="AI42" s="16">
        <f>ROUND(AI41*(1+B42/12),2)+Setup!$B$3</f>
        <v/>
      </c>
    </row>
    <row r="43">
      <c r="A43" s="6">
        <f>Setup!A58</f>
        <v/>
      </c>
      <c r="B43" s="12">
        <f>Setup!B58</f>
        <v/>
      </c>
      <c r="C43" s="13">
        <f>AF42</f>
        <v/>
      </c>
      <c r="D43" s="18">
        <f>ROUND(C43*B43/12,2)</f>
        <v/>
      </c>
      <c r="E43" s="18">
        <f>C43+D43</f>
        <v/>
      </c>
      <c r="F43" s="18">
        <f>Setup!$B$3*Setup!$C$9</f>
        <v/>
      </c>
      <c r="G43" s="19">
        <f>IF(Setup!C58&gt;0,F43/Setup!C58,0)</f>
        <v/>
      </c>
      <c r="H43" s="19">
        <f>H42+G43</f>
        <v/>
      </c>
      <c r="I43" s="18">
        <f>H43*Setup!E58</f>
        <v/>
      </c>
      <c r="J43" s="18">
        <f>H43*Setup!D58</f>
        <v/>
      </c>
      <c r="K43" s="18">
        <f>Setup!$B$3*Setup!$C$10</f>
        <v/>
      </c>
      <c r="L43" s="19">
        <f>IF(Setup!F58&gt;0,K43/Setup!F58,0)</f>
        <v/>
      </c>
      <c r="M43" s="19">
        <f>M42+L43</f>
        <v/>
      </c>
      <c r="N43" s="18">
        <f>M43*Setup!H58</f>
        <v/>
      </c>
      <c r="O43" s="18">
        <f>M43*Setup!G58</f>
        <v/>
      </c>
      <c r="P43" s="18">
        <f>Setup!$B$3*Setup!$C$11</f>
        <v/>
      </c>
      <c r="Q43" s="19">
        <f>IF(Setup!I58&gt;0,P43/Setup!I58,0)</f>
        <v/>
      </c>
      <c r="R43" s="19">
        <f>R42+Q43</f>
        <v/>
      </c>
      <c r="S43" s="18">
        <f>R43*Setup!K58</f>
        <v/>
      </c>
      <c r="T43" s="18">
        <f>R43*Setup!J58</f>
        <v/>
      </c>
      <c r="U43" s="18">
        <f>Setup!$B$3*Setup!$C$12</f>
        <v/>
      </c>
      <c r="V43" s="19">
        <f>IF(Setup!L58&gt;0,U43/Setup!L58,0)</f>
        <v/>
      </c>
      <c r="W43" s="19">
        <f>W42+V43</f>
        <v/>
      </c>
      <c r="X43" s="18">
        <f>W43*Setup!N58</f>
        <v/>
      </c>
      <c r="Y43" s="18">
        <f>W43*Setup!M58</f>
        <v/>
      </c>
      <c r="Z43" s="18">
        <f>Setup!$B$3*Setup!$C$13</f>
        <v/>
      </c>
      <c r="AA43" s="19">
        <f>IF(Setup!O58&gt;0,Z43/Setup!O58,0)</f>
        <v/>
      </c>
      <c r="AB43" s="19">
        <f>AB42+AA43</f>
        <v/>
      </c>
      <c r="AC43" s="18">
        <f>AB43*Setup!Q58</f>
        <v/>
      </c>
      <c r="AD43" s="18">
        <f>AB43*Setup!P58</f>
        <v/>
      </c>
      <c r="AE43" s="18">
        <f>I43+N43+S43+X43+AC43</f>
        <v/>
      </c>
      <c r="AF43" s="18">
        <f>E43+AE43</f>
        <v/>
      </c>
      <c r="AG43" s="18">
        <f>AG42+F43+K43+P43+U43+Z43</f>
        <v/>
      </c>
      <c r="AH43" s="18">
        <f>J43+O43+T43+Y43+AD43</f>
        <v/>
      </c>
      <c r="AI43" s="18">
        <f>ROUND(AI42*(1+B43/12),2)+Setup!$B$3</f>
        <v/>
      </c>
    </row>
    <row r="44">
      <c r="A44" s="8">
        <f>Setup!A59</f>
        <v/>
      </c>
      <c r="B44" s="9">
        <f>Setup!B59</f>
        <v/>
      </c>
      <c r="C44" s="10">
        <f>AF43</f>
        <v/>
      </c>
      <c r="D44" s="16">
        <f>ROUND(C44*B44/12,2)</f>
        <v/>
      </c>
      <c r="E44" s="16">
        <f>C44+D44</f>
        <v/>
      </c>
      <c r="F44" s="16">
        <f>Setup!$B$3*Setup!$C$9</f>
        <v/>
      </c>
      <c r="G44" s="17">
        <f>IF(Setup!C59&gt;0,F44/Setup!C59,0)</f>
        <v/>
      </c>
      <c r="H44" s="17">
        <f>H43+G44</f>
        <v/>
      </c>
      <c r="I44" s="16">
        <f>H44*Setup!E59</f>
        <v/>
      </c>
      <c r="J44" s="16">
        <f>H44*Setup!D59</f>
        <v/>
      </c>
      <c r="K44" s="16">
        <f>Setup!$B$3*Setup!$C$10</f>
        <v/>
      </c>
      <c r="L44" s="17">
        <f>IF(Setup!F59&gt;0,K44/Setup!F59,0)</f>
        <v/>
      </c>
      <c r="M44" s="17">
        <f>M43+L44</f>
        <v/>
      </c>
      <c r="N44" s="16">
        <f>M44*Setup!H59</f>
        <v/>
      </c>
      <c r="O44" s="16">
        <f>M44*Setup!G59</f>
        <v/>
      </c>
      <c r="P44" s="16">
        <f>Setup!$B$3*Setup!$C$11</f>
        <v/>
      </c>
      <c r="Q44" s="17">
        <f>IF(Setup!I59&gt;0,P44/Setup!I59,0)</f>
        <v/>
      </c>
      <c r="R44" s="17">
        <f>R43+Q44</f>
        <v/>
      </c>
      <c r="S44" s="16">
        <f>R44*Setup!K59</f>
        <v/>
      </c>
      <c r="T44" s="16">
        <f>R44*Setup!J59</f>
        <v/>
      </c>
      <c r="U44" s="16">
        <f>Setup!$B$3*Setup!$C$12</f>
        <v/>
      </c>
      <c r="V44" s="17">
        <f>IF(Setup!L59&gt;0,U44/Setup!L59,0)</f>
        <v/>
      </c>
      <c r="W44" s="17">
        <f>W43+V44</f>
        <v/>
      </c>
      <c r="X44" s="16">
        <f>W44*Setup!N59</f>
        <v/>
      </c>
      <c r="Y44" s="16">
        <f>W44*Setup!M59</f>
        <v/>
      </c>
      <c r="Z44" s="16">
        <f>Setup!$B$3*Setup!$C$13</f>
        <v/>
      </c>
      <c r="AA44" s="17">
        <f>IF(Setup!O59&gt;0,Z44/Setup!O59,0)</f>
        <v/>
      </c>
      <c r="AB44" s="17">
        <f>AB43+AA44</f>
        <v/>
      </c>
      <c r="AC44" s="16">
        <f>AB44*Setup!Q59</f>
        <v/>
      </c>
      <c r="AD44" s="16">
        <f>AB44*Setup!P59</f>
        <v/>
      </c>
      <c r="AE44" s="16">
        <f>I44+N44+S44+X44+AC44</f>
        <v/>
      </c>
      <c r="AF44" s="16">
        <f>E44+AE44</f>
        <v/>
      </c>
      <c r="AG44" s="16">
        <f>AG43+F44+K44+P44+U44+Z44</f>
        <v/>
      </c>
      <c r="AH44" s="16">
        <f>J44+O44+T44+Y44+AD44</f>
        <v/>
      </c>
      <c r="AI44" s="16">
        <f>ROUND(AI43*(1+B44/12),2)+Setup!$B$3</f>
        <v/>
      </c>
    </row>
    <row r="45">
      <c r="A45" s="6">
        <f>Setup!A60</f>
        <v/>
      </c>
      <c r="B45" s="12">
        <f>Setup!B60</f>
        <v/>
      </c>
      <c r="C45" s="13">
        <f>AF44</f>
        <v/>
      </c>
      <c r="D45" s="18">
        <f>ROUND(C45*B45/12,2)</f>
        <v/>
      </c>
      <c r="E45" s="18">
        <f>C45+D45</f>
        <v/>
      </c>
      <c r="F45" s="18">
        <f>Setup!$B$3*Setup!$C$9</f>
        <v/>
      </c>
      <c r="G45" s="19">
        <f>IF(Setup!C60&gt;0,F45/Setup!C60,0)</f>
        <v/>
      </c>
      <c r="H45" s="19">
        <f>H44+G45</f>
        <v/>
      </c>
      <c r="I45" s="18">
        <f>H45*Setup!E60</f>
        <v/>
      </c>
      <c r="J45" s="18">
        <f>H45*Setup!D60</f>
        <v/>
      </c>
      <c r="K45" s="18">
        <f>Setup!$B$3*Setup!$C$10</f>
        <v/>
      </c>
      <c r="L45" s="19">
        <f>IF(Setup!F60&gt;0,K45/Setup!F60,0)</f>
        <v/>
      </c>
      <c r="M45" s="19">
        <f>M44+L45</f>
        <v/>
      </c>
      <c r="N45" s="18">
        <f>M45*Setup!H60</f>
        <v/>
      </c>
      <c r="O45" s="18">
        <f>M45*Setup!G60</f>
        <v/>
      </c>
      <c r="P45" s="18">
        <f>Setup!$B$3*Setup!$C$11</f>
        <v/>
      </c>
      <c r="Q45" s="19">
        <f>IF(Setup!I60&gt;0,P45/Setup!I60,0)</f>
        <v/>
      </c>
      <c r="R45" s="19">
        <f>R44+Q45</f>
        <v/>
      </c>
      <c r="S45" s="18">
        <f>R45*Setup!K60</f>
        <v/>
      </c>
      <c r="T45" s="18">
        <f>R45*Setup!J60</f>
        <v/>
      </c>
      <c r="U45" s="18">
        <f>Setup!$B$3*Setup!$C$12</f>
        <v/>
      </c>
      <c r="V45" s="19">
        <f>IF(Setup!L60&gt;0,U45/Setup!L60,0)</f>
        <v/>
      </c>
      <c r="W45" s="19">
        <f>W44+V45</f>
        <v/>
      </c>
      <c r="X45" s="18">
        <f>W45*Setup!N60</f>
        <v/>
      </c>
      <c r="Y45" s="18">
        <f>W45*Setup!M60</f>
        <v/>
      </c>
      <c r="Z45" s="18">
        <f>Setup!$B$3*Setup!$C$13</f>
        <v/>
      </c>
      <c r="AA45" s="19">
        <f>IF(Setup!O60&gt;0,Z45/Setup!O60,0)</f>
        <v/>
      </c>
      <c r="AB45" s="19">
        <f>AB44+AA45</f>
        <v/>
      </c>
      <c r="AC45" s="18">
        <f>AB45*Setup!Q60</f>
        <v/>
      </c>
      <c r="AD45" s="18">
        <f>AB45*Setup!P60</f>
        <v/>
      </c>
      <c r="AE45" s="18">
        <f>I45+N45+S45+X45+AC45</f>
        <v/>
      </c>
      <c r="AF45" s="18">
        <f>E45+AE45</f>
        <v/>
      </c>
      <c r="AG45" s="18">
        <f>AG44+F45+K45+P45+U45+Z45</f>
        <v/>
      </c>
      <c r="AH45" s="18">
        <f>J45+O45+T45+Y45+AD45</f>
        <v/>
      </c>
      <c r="AI45" s="18">
        <f>ROUND(AI44*(1+B45/12),2)+Setup!$B$3</f>
        <v/>
      </c>
    </row>
    <row r="46">
      <c r="A46" s="8">
        <f>Setup!A61</f>
        <v/>
      </c>
      <c r="B46" s="9">
        <f>Setup!B61</f>
        <v/>
      </c>
      <c r="C46" s="10">
        <f>AF45</f>
        <v/>
      </c>
      <c r="D46" s="16">
        <f>ROUND(C46*B46/12,2)</f>
        <v/>
      </c>
      <c r="E46" s="16">
        <f>C46+D46</f>
        <v/>
      </c>
      <c r="F46" s="16">
        <f>Setup!$B$3*Setup!$C$9</f>
        <v/>
      </c>
      <c r="G46" s="17">
        <f>IF(Setup!C61&gt;0,F46/Setup!C61,0)</f>
        <v/>
      </c>
      <c r="H46" s="17">
        <f>H45+G46</f>
        <v/>
      </c>
      <c r="I46" s="16">
        <f>H46*Setup!E61</f>
        <v/>
      </c>
      <c r="J46" s="16">
        <f>H46*Setup!D61</f>
        <v/>
      </c>
      <c r="K46" s="16">
        <f>Setup!$B$3*Setup!$C$10</f>
        <v/>
      </c>
      <c r="L46" s="17">
        <f>IF(Setup!F61&gt;0,K46/Setup!F61,0)</f>
        <v/>
      </c>
      <c r="M46" s="17">
        <f>M45+L46</f>
        <v/>
      </c>
      <c r="N46" s="16">
        <f>M46*Setup!H61</f>
        <v/>
      </c>
      <c r="O46" s="16">
        <f>M46*Setup!G61</f>
        <v/>
      </c>
      <c r="P46" s="16">
        <f>Setup!$B$3*Setup!$C$11</f>
        <v/>
      </c>
      <c r="Q46" s="17">
        <f>IF(Setup!I61&gt;0,P46/Setup!I61,0)</f>
        <v/>
      </c>
      <c r="R46" s="17">
        <f>R45+Q46</f>
        <v/>
      </c>
      <c r="S46" s="16">
        <f>R46*Setup!K61</f>
        <v/>
      </c>
      <c r="T46" s="16">
        <f>R46*Setup!J61</f>
        <v/>
      </c>
      <c r="U46" s="16">
        <f>Setup!$B$3*Setup!$C$12</f>
        <v/>
      </c>
      <c r="V46" s="17">
        <f>IF(Setup!L61&gt;0,U46/Setup!L61,0)</f>
        <v/>
      </c>
      <c r="W46" s="17">
        <f>W45+V46</f>
        <v/>
      </c>
      <c r="X46" s="16">
        <f>W46*Setup!N61</f>
        <v/>
      </c>
      <c r="Y46" s="16">
        <f>W46*Setup!M61</f>
        <v/>
      </c>
      <c r="Z46" s="16">
        <f>Setup!$B$3*Setup!$C$13</f>
        <v/>
      </c>
      <c r="AA46" s="17">
        <f>IF(Setup!O61&gt;0,Z46/Setup!O61,0)</f>
        <v/>
      </c>
      <c r="AB46" s="17">
        <f>AB45+AA46</f>
        <v/>
      </c>
      <c r="AC46" s="16">
        <f>AB46*Setup!Q61</f>
        <v/>
      </c>
      <c r="AD46" s="16">
        <f>AB46*Setup!P61</f>
        <v/>
      </c>
      <c r="AE46" s="16">
        <f>I46+N46+S46+X46+AC46</f>
        <v/>
      </c>
      <c r="AF46" s="16">
        <f>E46+AE46</f>
        <v/>
      </c>
      <c r="AG46" s="16">
        <f>AG45+F46+K46+P46+U46+Z46</f>
        <v/>
      </c>
      <c r="AH46" s="16">
        <f>J46+O46+T46+Y46+AD46</f>
        <v/>
      </c>
      <c r="AI46" s="16">
        <f>ROUND(AI45*(1+B46/12),2)+Setup!$B$3</f>
        <v/>
      </c>
    </row>
    <row r="47">
      <c r="A47" s="6">
        <f>Setup!A62</f>
        <v/>
      </c>
      <c r="B47" s="12">
        <f>Setup!B62</f>
        <v/>
      </c>
      <c r="C47" s="13">
        <f>AF46</f>
        <v/>
      </c>
      <c r="D47" s="18">
        <f>ROUND(C47*B47/12,2)</f>
        <v/>
      </c>
      <c r="E47" s="18">
        <f>C47+D47</f>
        <v/>
      </c>
      <c r="F47" s="18">
        <f>Setup!$B$3*Setup!$C$9</f>
        <v/>
      </c>
      <c r="G47" s="19">
        <f>IF(Setup!C62&gt;0,F47/Setup!C62,0)</f>
        <v/>
      </c>
      <c r="H47" s="19">
        <f>H46+G47</f>
        <v/>
      </c>
      <c r="I47" s="18">
        <f>H47*Setup!E62</f>
        <v/>
      </c>
      <c r="J47" s="18">
        <f>H47*Setup!D62</f>
        <v/>
      </c>
      <c r="K47" s="18">
        <f>Setup!$B$3*Setup!$C$10</f>
        <v/>
      </c>
      <c r="L47" s="19">
        <f>IF(Setup!F62&gt;0,K47/Setup!F62,0)</f>
        <v/>
      </c>
      <c r="M47" s="19">
        <f>M46+L47</f>
        <v/>
      </c>
      <c r="N47" s="18">
        <f>M47*Setup!H62</f>
        <v/>
      </c>
      <c r="O47" s="18">
        <f>M47*Setup!G62</f>
        <v/>
      </c>
      <c r="P47" s="18">
        <f>Setup!$B$3*Setup!$C$11</f>
        <v/>
      </c>
      <c r="Q47" s="19">
        <f>IF(Setup!I62&gt;0,P47/Setup!I62,0)</f>
        <v/>
      </c>
      <c r="R47" s="19">
        <f>R46+Q47</f>
        <v/>
      </c>
      <c r="S47" s="18">
        <f>R47*Setup!K62</f>
        <v/>
      </c>
      <c r="T47" s="18">
        <f>R47*Setup!J62</f>
        <v/>
      </c>
      <c r="U47" s="18">
        <f>Setup!$B$3*Setup!$C$12</f>
        <v/>
      </c>
      <c r="V47" s="19">
        <f>IF(Setup!L62&gt;0,U47/Setup!L62,0)</f>
        <v/>
      </c>
      <c r="W47" s="19">
        <f>W46+V47</f>
        <v/>
      </c>
      <c r="X47" s="18">
        <f>W47*Setup!N62</f>
        <v/>
      </c>
      <c r="Y47" s="18">
        <f>W47*Setup!M62</f>
        <v/>
      </c>
      <c r="Z47" s="18">
        <f>Setup!$B$3*Setup!$C$13</f>
        <v/>
      </c>
      <c r="AA47" s="19">
        <f>IF(Setup!O62&gt;0,Z47/Setup!O62,0)</f>
        <v/>
      </c>
      <c r="AB47" s="19">
        <f>AB46+AA47</f>
        <v/>
      </c>
      <c r="AC47" s="18">
        <f>AB47*Setup!Q62</f>
        <v/>
      </c>
      <c r="AD47" s="18">
        <f>AB47*Setup!P62</f>
        <v/>
      </c>
      <c r="AE47" s="18">
        <f>I47+N47+S47+X47+AC47</f>
        <v/>
      </c>
      <c r="AF47" s="18">
        <f>E47+AE47</f>
        <v/>
      </c>
      <c r="AG47" s="18">
        <f>AG46+F47+K47+P47+U47+Z47</f>
        <v/>
      </c>
      <c r="AH47" s="18">
        <f>J47+O47+T47+Y47+AD47</f>
        <v/>
      </c>
      <c r="AI47" s="18">
        <f>ROUND(AI46*(1+B47/12),2)+Setup!$B$3</f>
        <v/>
      </c>
    </row>
    <row r="48">
      <c r="A48" s="8">
        <f>Setup!A63</f>
        <v/>
      </c>
      <c r="B48" s="9">
        <f>Setup!B63</f>
        <v/>
      </c>
      <c r="C48" s="10">
        <f>AF47</f>
        <v/>
      </c>
      <c r="D48" s="16">
        <f>ROUND(C48*B48/12,2)</f>
        <v/>
      </c>
      <c r="E48" s="16">
        <f>C48+D48</f>
        <v/>
      </c>
      <c r="F48" s="16">
        <f>Setup!$B$3*Setup!$C$9</f>
        <v/>
      </c>
      <c r="G48" s="17">
        <f>IF(Setup!C63&gt;0,F48/Setup!C63,0)</f>
        <v/>
      </c>
      <c r="H48" s="17">
        <f>H47+G48</f>
        <v/>
      </c>
      <c r="I48" s="16">
        <f>H48*Setup!E63</f>
        <v/>
      </c>
      <c r="J48" s="16">
        <f>H48*Setup!D63</f>
        <v/>
      </c>
      <c r="K48" s="16">
        <f>Setup!$B$3*Setup!$C$10</f>
        <v/>
      </c>
      <c r="L48" s="17">
        <f>IF(Setup!F63&gt;0,K48/Setup!F63,0)</f>
        <v/>
      </c>
      <c r="M48" s="17">
        <f>M47+L48</f>
        <v/>
      </c>
      <c r="N48" s="16">
        <f>M48*Setup!H63</f>
        <v/>
      </c>
      <c r="O48" s="16">
        <f>M48*Setup!G63</f>
        <v/>
      </c>
      <c r="P48" s="16">
        <f>Setup!$B$3*Setup!$C$11</f>
        <v/>
      </c>
      <c r="Q48" s="17">
        <f>IF(Setup!I63&gt;0,P48/Setup!I63,0)</f>
        <v/>
      </c>
      <c r="R48" s="17">
        <f>R47+Q48</f>
        <v/>
      </c>
      <c r="S48" s="16">
        <f>R48*Setup!K63</f>
        <v/>
      </c>
      <c r="T48" s="16">
        <f>R48*Setup!J63</f>
        <v/>
      </c>
      <c r="U48" s="16">
        <f>Setup!$B$3*Setup!$C$12</f>
        <v/>
      </c>
      <c r="V48" s="17">
        <f>IF(Setup!L63&gt;0,U48/Setup!L63,0)</f>
        <v/>
      </c>
      <c r="W48" s="17">
        <f>W47+V48</f>
        <v/>
      </c>
      <c r="X48" s="16">
        <f>W48*Setup!N63</f>
        <v/>
      </c>
      <c r="Y48" s="16">
        <f>W48*Setup!M63</f>
        <v/>
      </c>
      <c r="Z48" s="16">
        <f>Setup!$B$3*Setup!$C$13</f>
        <v/>
      </c>
      <c r="AA48" s="17">
        <f>IF(Setup!O63&gt;0,Z48/Setup!O63,0)</f>
        <v/>
      </c>
      <c r="AB48" s="17">
        <f>AB47+AA48</f>
        <v/>
      </c>
      <c r="AC48" s="16">
        <f>AB48*Setup!Q63</f>
        <v/>
      </c>
      <c r="AD48" s="16">
        <f>AB48*Setup!P63</f>
        <v/>
      </c>
      <c r="AE48" s="16">
        <f>I48+N48+S48+X48+AC48</f>
        <v/>
      </c>
      <c r="AF48" s="16">
        <f>E48+AE48</f>
        <v/>
      </c>
      <c r="AG48" s="16">
        <f>AG47+F48+K48+P48+U48+Z48</f>
        <v/>
      </c>
      <c r="AH48" s="16">
        <f>J48+O48+T48+Y48+AD48</f>
        <v/>
      </c>
      <c r="AI48" s="16">
        <f>ROUND(AI47*(1+B48/12),2)+Setup!$B$3</f>
        <v/>
      </c>
    </row>
    <row r="49">
      <c r="A49" s="6">
        <f>Setup!A64</f>
        <v/>
      </c>
      <c r="B49" s="12">
        <f>Setup!B64</f>
        <v/>
      </c>
      <c r="C49" s="13">
        <f>AF48</f>
        <v/>
      </c>
      <c r="D49" s="18">
        <f>ROUND(C49*B49/12,2)</f>
        <v/>
      </c>
      <c r="E49" s="18">
        <f>C49+D49</f>
        <v/>
      </c>
      <c r="F49" s="18">
        <f>Setup!$B$3*Setup!$C$9</f>
        <v/>
      </c>
      <c r="G49" s="19">
        <f>IF(Setup!C64&gt;0,F49/Setup!C64,0)</f>
        <v/>
      </c>
      <c r="H49" s="19">
        <f>H48+G49</f>
        <v/>
      </c>
      <c r="I49" s="18">
        <f>H49*Setup!E64</f>
        <v/>
      </c>
      <c r="J49" s="18">
        <f>H49*Setup!D64</f>
        <v/>
      </c>
      <c r="K49" s="18">
        <f>Setup!$B$3*Setup!$C$10</f>
        <v/>
      </c>
      <c r="L49" s="19">
        <f>IF(Setup!F64&gt;0,K49/Setup!F64,0)</f>
        <v/>
      </c>
      <c r="M49" s="19">
        <f>M48+L49</f>
        <v/>
      </c>
      <c r="N49" s="18">
        <f>M49*Setup!H64</f>
        <v/>
      </c>
      <c r="O49" s="18">
        <f>M49*Setup!G64</f>
        <v/>
      </c>
      <c r="P49" s="18">
        <f>Setup!$B$3*Setup!$C$11</f>
        <v/>
      </c>
      <c r="Q49" s="19">
        <f>IF(Setup!I64&gt;0,P49/Setup!I64,0)</f>
        <v/>
      </c>
      <c r="R49" s="19">
        <f>R48+Q49</f>
        <v/>
      </c>
      <c r="S49" s="18">
        <f>R49*Setup!K64</f>
        <v/>
      </c>
      <c r="T49" s="18">
        <f>R49*Setup!J64</f>
        <v/>
      </c>
      <c r="U49" s="18">
        <f>Setup!$B$3*Setup!$C$12</f>
        <v/>
      </c>
      <c r="V49" s="19">
        <f>IF(Setup!L64&gt;0,U49/Setup!L64,0)</f>
        <v/>
      </c>
      <c r="W49" s="19">
        <f>W48+V49</f>
        <v/>
      </c>
      <c r="X49" s="18">
        <f>W49*Setup!N64</f>
        <v/>
      </c>
      <c r="Y49" s="18">
        <f>W49*Setup!M64</f>
        <v/>
      </c>
      <c r="Z49" s="18">
        <f>Setup!$B$3*Setup!$C$13</f>
        <v/>
      </c>
      <c r="AA49" s="19">
        <f>IF(Setup!O64&gt;0,Z49/Setup!O64,0)</f>
        <v/>
      </c>
      <c r="AB49" s="19">
        <f>AB48+AA49</f>
        <v/>
      </c>
      <c r="AC49" s="18">
        <f>AB49*Setup!Q64</f>
        <v/>
      </c>
      <c r="AD49" s="18">
        <f>AB49*Setup!P64</f>
        <v/>
      </c>
      <c r="AE49" s="18">
        <f>I49+N49+S49+X49+AC49</f>
        <v/>
      </c>
      <c r="AF49" s="18">
        <f>E49+AE49</f>
        <v/>
      </c>
      <c r="AG49" s="18">
        <f>AG48+F49+K49+P49+U49+Z49</f>
        <v/>
      </c>
      <c r="AH49" s="18">
        <f>J49+O49+T49+Y49+AD49</f>
        <v/>
      </c>
      <c r="AI49" s="18">
        <f>ROUND(AI48*(1+B49/12),2)+Setup!$B$3</f>
        <v/>
      </c>
    </row>
    <row r="50">
      <c r="A50" s="8">
        <f>Setup!A65</f>
        <v/>
      </c>
      <c r="B50" s="9">
        <f>Setup!B65</f>
        <v/>
      </c>
      <c r="C50" s="10">
        <f>AF49</f>
        <v/>
      </c>
      <c r="D50" s="16">
        <f>ROUND(C50*B50/12,2)</f>
        <v/>
      </c>
      <c r="E50" s="16">
        <f>C50+D50</f>
        <v/>
      </c>
      <c r="F50" s="16">
        <f>Setup!$B$3*Setup!$C$9</f>
        <v/>
      </c>
      <c r="G50" s="17">
        <f>IF(Setup!C65&gt;0,F50/Setup!C65,0)</f>
        <v/>
      </c>
      <c r="H50" s="17">
        <f>H49+G50</f>
        <v/>
      </c>
      <c r="I50" s="16">
        <f>H50*Setup!E65</f>
        <v/>
      </c>
      <c r="J50" s="16">
        <f>H50*Setup!D65</f>
        <v/>
      </c>
      <c r="K50" s="16">
        <f>Setup!$B$3*Setup!$C$10</f>
        <v/>
      </c>
      <c r="L50" s="17">
        <f>IF(Setup!F65&gt;0,K50/Setup!F65,0)</f>
        <v/>
      </c>
      <c r="M50" s="17">
        <f>M49+L50</f>
        <v/>
      </c>
      <c r="N50" s="16">
        <f>M50*Setup!H65</f>
        <v/>
      </c>
      <c r="O50" s="16">
        <f>M50*Setup!G65</f>
        <v/>
      </c>
      <c r="P50" s="16">
        <f>Setup!$B$3*Setup!$C$11</f>
        <v/>
      </c>
      <c r="Q50" s="17">
        <f>IF(Setup!I65&gt;0,P50/Setup!I65,0)</f>
        <v/>
      </c>
      <c r="R50" s="17">
        <f>R49+Q50</f>
        <v/>
      </c>
      <c r="S50" s="16">
        <f>R50*Setup!K65</f>
        <v/>
      </c>
      <c r="T50" s="16">
        <f>R50*Setup!J65</f>
        <v/>
      </c>
      <c r="U50" s="16">
        <f>Setup!$B$3*Setup!$C$12</f>
        <v/>
      </c>
      <c r="V50" s="17">
        <f>IF(Setup!L65&gt;0,U50/Setup!L65,0)</f>
        <v/>
      </c>
      <c r="W50" s="17">
        <f>W49+V50</f>
        <v/>
      </c>
      <c r="X50" s="16">
        <f>W50*Setup!N65</f>
        <v/>
      </c>
      <c r="Y50" s="16">
        <f>W50*Setup!M65</f>
        <v/>
      </c>
      <c r="Z50" s="16">
        <f>Setup!$B$3*Setup!$C$13</f>
        <v/>
      </c>
      <c r="AA50" s="17">
        <f>IF(Setup!O65&gt;0,Z50/Setup!O65,0)</f>
        <v/>
      </c>
      <c r="AB50" s="17">
        <f>AB49+AA50</f>
        <v/>
      </c>
      <c r="AC50" s="16">
        <f>AB50*Setup!Q65</f>
        <v/>
      </c>
      <c r="AD50" s="16">
        <f>AB50*Setup!P65</f>
        <v/>
      </c>
      <c r="AE50" s="16">
        <f>I50+N50+S50+X50+AC50</f>
        <v/>
      </c>
      <c r="AF50" s="16">
        <f>E50+AE50</f>
        <v/>
      </c>
      <c r="AG50" s="16">
        <f>AG49+F50+K50+P50+U50+Z50</f>
        <v/>
      </c>
      <c r="AH50" s="16">
        <f>J50+O50+T50+Y50+AD50</f>
        <v/>
      </c>
      <c r="AI50" s="16">
        <f>ROUND(AI49*(1+B50/12),2)+Setup!$B$3</f>
        <v/>
      </c>
    </row>
    <row r="51">
      <c r="A51" s="6">
        <f>Setup!A66</f>
        <v/>
      </c>
      <c r="B51" s="12">
        <f>Setup!B66</f>
        <v/>
      </c>
      <c r="C51" s="13">
        <f>AF50</f>
        <v/>
      </c>
      <c r="D51" s="18">
        <f>ROUND(C51*B51/12,2)</f>
        <v/>
      </c>
      <c r="E51" s="18">
        <f>C51+D51</f>
        <v/>
      </c>
      <c r="F51" s="18">
        <f>Setup!$B$3*Setup!$C$9</f>
        <v/>
      </c>
      <c r="G51" s="19">
        <f>IF(Setup!C66&gt;0,F51/Setup!C66,0)</f>
        <v/>
      </c>
      <c r="H51" s="19">
        <f>H50+G51</f>
        <v/>
      </c>
      <c r="I51" s="18">
        <f>H51*Setup!E66</f>
        <v/>
      </c>
      <c r="J51" s="18">
        <f>H51*Setup!D66</f>
        <v/>
      </c>
      <c r="K51" s="18">
        <f>Setup!$B$3*Setup!$C$10</f>
        <v/>
      </c>
      <c r="L51" s="19">
        <f>IF(Setup!F66&gt;0,K51/Setup!F66,0)</f>
        <v/>
      </c>
      <c r="M51" s="19">
        <f>M50+L51</f>
        <v/>
      </c>
      <c r="N51" s="18">
        <f>M51*Setup!H66</f>
        <v/>
      </c>
      <c r="O51" s="18">
        <f>M51*Setup!G66</f>
        <v/>
      </c>
      <c r="P51" s="18">
        <f>Setup!$B$3*Setup!$C$11</f>
        <v/>
      </c>
      <c r="Q51" s="19">
        <f>IF(Setup!I66&gt;0,P51/Setup!I66,0)</f>
        <v/>
      </c>
      <c r="R51" s="19">
        <f>R50+Q51</f>
        <v/>
      </c>
      <c r="S51" s="18">
        <f>R51*Setup!K66</f>
        <v/>
      </c>
      <c r="T51" s="18">
        <f>R51*Setup!J66</f>
        <v/>
      </c>
      <c r="U51" s="18">
        <f>Setup!$B$3*Setup!$C$12</f>
        <v/>
      </c>
      <c r="V51" s="19">
        <f>IF(Setup!L66&gt;0,U51/Setup!L66,0)</f>
        <v/>
      </c>
      <c r="W51" s="19">
        <f>W50+V51</f>
        <v/>
      </c>
      <c r="X51" s="18">
        <f>W51*Setup!N66</f>
        <v/>
      </c>
      <c r="Y51" s="18">
        <f>W51*Setup!M66</f>
        <v/>
      </c>
      <c r="Z51" s="18">
        <f>Setup!$B$3*Setup!$C$13</f>
        <v/>
      </c>
      <c r="AA51" s="19">
        <f>IF(Setup!O66&gt;0,Z51/Setup!O66,0)</f>
        <v/>
      </c>
      <c r="AB51" s="19">
        <f>AB50+AA51</f>
        <v/>
      </c>
      <c r="AC51" s="18">
        <f>AB51*Setup!Q66</f>
        <v/>
      </c>
      <c r="AD51" s="18">
        <f>AB51*Setup!P66</f>
        <v/>
      </c>
      <c r="AE51" s="18">
        <f>I51+N51+S51+X51+AC51</f>
        <v/>
      </c>
      <c r="AF51" s="18">
        <f>E51+AE51</f>
        <v/>
      </c>
      <c r="AG51" s="18">
        <f>AG50+F51+K51+P51+U51+Z51</f>
        <v/>
      </c>
      <c r="AH51" s="18">
        <f>J51+O51+T51+Y51+AD51</f>
        <v/>
      </c>
      <c r="AI51" s="18">
        <f>ROUND(AI50*(1+B51/12),2)+Setup!$B$3</f>
        <v/>
      </c>
    </row>
    <row r="52">
      <c r="A52" s="8">
        <f>Setup!A67</f>
        <v/>
      </c>
      <c r="B52" s="9">
        <f>Setup!B67</f>
        <v/>
      </c>
      <c r="C52" s="10">
        <f>AF51</f>
        <v/>
      </c>
      <c r="D52" s="16">
        <f>ROUND(C52*B52/12,2)</f>
        <v/>
      </c>
      <c r="E52" s="16">
        <f>C52+D52</f>
        <v/>
      </c>
      <c r="F52" s="16">
        <f>Setup!$B$3*Setup!$C$9</f>
        <v/>
      </c>
      <c r="G52" s="17">
        <f>IF(Setup!C67&gt;0,F52/Setup!C67,0)</f>
        <v/>
      </c>
      <c r="H52" s="17">
        <f>H51+G52</f>
        <v/>
      </c>
      <c r="I52" s="16">
        <f>H52*Setup!E67</f>
        <v/>
      </c>
      <c r="J52" s="16">
        <f>H52*Setup!D67</f>
        <v/>
      </c>
      <c r="K52" s="16">
        <f>Setup!$B$3*Setup!$C$10</f>
        <v/>
      </c>
      <c r="L52" s="17">
        <f>IF(Setup!F67&gt;0,K52/Setup!F67,0)</f>
        <v/>
      </c>
      <c r="M52" s="17">
        <f>M51+L52</f>
        <v/>
      </c>
      <c r="N52" s="16">
        <f>M52*Setup!H67</f>
        <v/>
      </c>
      <c r="O52" s="16">
        <f>M52*Setup!G67</f>
        <v/>
      </c>
      <c r="P52" s="16">
        <f>Setup!$B$3*Setup!$C$11</f>
        <v/>
      </c>
      <c r="Q52" s="17">
        <f>IF(Setup!I67&gt;0,P52/Setup!I67,0)</f>
        <v/>
      </c>
      <c r="R52" s="17">
        <f>R51+Q52</f>
        <v/>
      </c>
      <c r="S52" s="16">
        <f>R52*Setup!K67</f>
        <v/>
      </c>
      <c r="T52" s="16">
        <f>R52*Setup!J67</f>
        <v/>
      </c>
      <c r="U52" s="16">
        <f>Setup!$B$3*Setup!$C$12</f>
        <v/>
      </c>
      <c r="V52" s="17">
        <f>IF(Setup!L67&gt;0,U52/Setup!L67,0)</f>
        <v/>
      </c>
      <c r="W52" s="17">
        <f>W51+V52</f>
        <v/>
      </c>
      <c r="X52" s="16">
        <f>W52*Setup!N67</f>
        <v/>
      </c>
      <c r="Y52" s="16">
        <f>W52*Setup!M67</f>
        <v/>
      </c>
      <c r="Z52" s="16">
        <f>Setup!$B$3*Setup!$C$13</f>
        <v/>
      </c>
      <c r="AA52" s="17">
        <f>IF(Setup!O67&gt;0,Z52/Setup!O67,0)</f>
        <v/>
      </c>
      <c r="AB52" s="17">
        <f>AB51+AA52</f>
        <v/>
      </c>
      <c r="AC52" s="16">
        <f>AB52*Setup!Q67</f>
        <v/>
      </c>
      <c r="AD52" s="16">
        <f>AB52*Setup!P67</f>
        <v/>
      </c>
      <c r="AE52" s="16">
        <f>I52+N52+S52+X52+AC52</f>
        <v/>
      </c>
      <c r="AF52" s="16">
        <f>E52+AE52</f>
        <v/>
      </c>
      <c r="AG52" s="16">
        <f>AG51+F52+K52+P52+U52+Z52</f>
        <v/>
      </c>
      <c r="AH52" s="16">
        <f>J52+O52+T52+Y52+AD52</f>
        <v/>
      </c>
      <c r="AI52" s="16">
        <f>ROUND(AI51*(1+B52/12),2)+Setup!$B$3</f>
        <v/>
      </c>
    </row>
    <row r="53">
      <c r="A53" s="6">
        <f>Setup!A68</f>
        <v/>
      </c>
      <c r="B53" s="12">
        <f>Setup!B68</f>
        <v/>
      </c>
      <c r="C53" s="13">
        <f>AF52</f>
        <v/>
      </c>
      <c r="D53" s="18">
        <f>ROUND(C53*B53/12,2)</f>
        <v/>
      </c>
      <c r="E53" s="18">
        <f>C53+D53</f>
        <v/>
      </c>
      <c r="F53" s="18">
        <f>Setup!$B$3*Setup!$C$9</f>
        <v/>
      </c>
      <c r="G53" s="19">
        <f>IF(Setup!C68&gt;0,F53/Setup!C68,0)</f>
        <v/>
      </c>
      <c r="H53" s="19">
        <f>H52+G53</f>
        <v/>
      </c>
      <c r="I53" s="18">
        <f>H53*Setup!E68</f>
        <v/>
      </c>
      <c r="J53" s="18">
        <f>H53*Setup!D68</f>
        <v/>
      </c>
      <c r="K53" s="18">
        <f>Setup!$B$3*Setup!$C$10</f>
        <v/>
      </c>
      <c r="L53" s="19">
        <f>IF(Setup!F68&gt;0,K53/Setup!F68,0)</f>
        <v/>
      </c>
      <c r="M53" s="19">
        <f>M52+L53</f>
        <v/>
      </c>
      <c r="N53" s="18">
        <f>M53*Setup!H68</f>
        <v/>
      </c>
      <c r="O53" s="18">
        <f>M53*Setup!G68</f>
        <v/>
      </c>
      <c r="P53" s="18">
        <f>Setup!$B$3*Setup!$C$11</f>
        <v/>
      </c>
      <c r="Q53" s="19">
        <f>IF(Setup!I68&gt;0,P53/Setup!I68,0)</f>
        <v/>
      </c>
      <c r="R53" s="19">
        <f>R52+Q53</f>
        <v/>
      </c>
      <c r="S53" s="18">
        <f>R53*Setup!K68</f>
        <v/>
      </c>
      <c r="T53" s="18">
        <f>R53*Setup!J68</f>
        <v/>
      </c>
      <c r="U53" s="18">
        <f>Setup!$B$3*Setup!$C$12</f>
        <v/>
      </c>
      <c r="V53" s="19">
        <f>IF(Setup!L68&gt;0,U53/Setup!L68,0)</f>
        <v/>
      </c>
      <c r="W53" s="19">
        <f>W52+V53</f>
        <v/>
      </c>
      <c r="X53" s="18">
        <f>W53*Setup!N68</f>
        <v/>
      </c>
      <c r="Y53" s="18">
        <f>W53*Setup!M68</f>
        <v/>
      </c>
      <c r="Z53" s="18">
        <f>Setup!$B$3*Setup!$C$13</f>
        <v/>
      </c>
      <c r="AA53" s="19">
        <f>IF(Setup!O68&gt;0,Z53/Setup!O68,0)</f>
        <v/>
      </c>
      <c r="AB53" s="19">
        <f>AB52+AA53</f>
        <v/>
      </c>
      <c r="AC53" s="18">
        <f>AB53*Setup!Q68</f>
        <v/>
      </c>
      <c r="AD53" s="18">
        <f>AB53*Setup!P68</f>
        <v/>
      </c>
      <c r="AE53" s="18">
        <f>I53+N53+S53+X53+AC53</f>
        <v/>
      </c>
      <c r="AF53" s="18">
        <f>E53+AE53</f>
        <v/>
      </c>
      <c r="AG53" s="18">
        <f>AG52+F53+K53+P53+U53+Z53</f>
        <v/>
      </c>
      <c r="AH53" s="18">
        <f>J53+O53+T53+Y53+AD53</f>
        <v/>
      </c>
      <c r="AI53" s="18">
        <f>ROUND(AI52*(1+B53/12),2)+Setup!$B$3</f>
        <v/>
      </c>
    </row>
    <row r="54">
      <c r="A54" s="8">
        <f>Setup!A69</f>
        <v/>
      </c>
      <c r="B54" s="9">
        <f>Setup!B69</f>
        <v/>
      </c>
      <c r="C54" s="10">
        <f>AF53</f>
        <v/>
      </c>
      <c r="D54" s="16">
        <f>ROUND(C54*B54/12,2)</f>
        <v/>
      </c>
      <c r="E54" s="16">
        <f>C54+D54</f>
        <v/>
      </c>
      <c r="F54" s="16">
        <f>Setup!$B$3*Setup!$C$9</f>
        <v/>
      </c>
      <c r="G54" s="17">
        <f>IF(Setup!C69&gt;0,F54/Setup!C69,0)</f>
        <v/>
      </c>
      <c r="H54" s="17">
        <f>H53+G54</f>
        <v/>
      </c>
      <c r="I54" s="16">
        <f>H54*Setup!E69</f>
        <v/>
      </c>
      <c r="J54" s="16">
        <f>H54*Setup!D69</f>
        <v/>
      </c>
      <c r="K54" s="16">
        <f>Setup!$B$3*Setup!$C$10</f>
        <v/>
      </c>
      <c r="L54" s="17">
        <f>IF(Setup!F69&gt;0,K54/Setup!F69,0)</f>
        <v/>
      </c>
      <c r="M54" s="17">
        <f>M53+L54</f>
        <v/>
      </c>
      <c r="N54" s="16">
        <f>M54*Setup!H69</f>
        <v/>
      </c>
      <c r="O54" s="16">
        <f>M54*Setup!G69</f>
        <v/>
      </c>
      <c r="P54" s="16">
        <f>Setup!$B$3*Setup!$C$11</f>
        <v/>
      </c>
      <c r="Q54" s="17">
        <f>IF(Setup!I69&gt;0,P54/Setup!I69,0)</f>
        <v/>
      </c>
      <c r="R54" s="17">
        <f>R53+Q54</f>
        <v/>
      </c>
      <c r="S54" s="16">
        <f>R54*Setup!K69</f>
        <v/>
      </c>
      <c r="T54" s="16">
        <f>R54*Setup!J69</f>
        <v/>
      </c>
      <c r="U54" s="16">
        <f>Setup!$B$3*Setup!$C$12</f>
        <v/>
      </c>
      <c r="V54" s="17">
        <f>IF(Setup!L69&gt;0,U54/Setup!L69,0)</f>
        <v/>
      </c>
      <c r="W54" s="17">
        <f>W53+V54</f>
        <v/>
      </c>
      <c r="X54" s="16">
        <f>W54*Setup!N69</f>
        <v/>
      </c>
      <c r="Y54" s="16">
        <f>W54*Setup!M69</f>
        <v/>
      </c>
      <c r="Z54" s="16">
        <f>Setup!$B$3*Setup!$C$13</f>
        <v/>
      </c>
      <c r="AA54" s="17">
        <f>IF(Setup!O69&gt;0,Z54/Setup!O69,0)</f>
        <v/>
      </c>
      <c r="AB54" s="17">
        <f>AB53+AA54</f>
        <v/>
      </c>
      <c r="AC54" s="16">
        <f>AB54*Setup!Q69</f>
        <v/>
      </c>
      <c r="AD54" s="16">
        <f>AB54*Setup!P69</f>
        <v/>
      </c>
      <c r="AE54" s="16">
        <f>I54+N54+S54+X54+AC54</f>
        <v/>
      </c>
      <c r="AF54" s="16">
        <f>E54+AE54</f>
        <v/>
      </c>
      <c r="AG54" s="16">
        <f>AG53+F54+K54+P54+U54+Z54</f>
        <v/>
      </c>
      <c r="AH54" s="16">
        <f>J54+O54+T54+Y54+AD54</f>
        <v/>
      </c>
      <c r="AI54" s="16">
        <f>ROUND(AI53*(1+B54/12),2)+Setup!$B$3</f>
        <v/>
      </c>
    </row>
    <row r="55">
      <c r="A55" s="6">
        <f>Setup!A70</f>
        <v/>
      </c>
      <c r="B55" s="12">
        <f>Setup!B70</f>
        <v/>
      </c>
      <c r="C55" s="13">
        <f>AF54</f>
        <v/>
      </c>
      <c r="D55" s="18">
        <f>ROUND(C55*B55/12,2)</f>
        <v/>
      </c>
      <c r="E55" s="18">
        <f>C55+D55</f>
        <v/>
      </c>
      <c r="F55" s="18">
        <f>Setup!$B$3*Setup!$C$9</f>
        <v/>
      </c>
      <c r="G55" s="19">
        <f>IF(Setup!C70&gt;0,F55/Setup!C70,0)</f>
        <v/>
      </c>
      <c r="H55" s="19">
        <f>H54+G55</f>
        <v/>
      </c>
      <c r="I55" s="18">
        <f>H55*Setup!E70</f>
        <v/>
      </c>
      <c r="J55" s="18">
        <f>H55*Setup!D70</f>
        <v/>
      </c>
      <c r="K55" s="18">
        <f>Setup!$B$3*Setup!$C$10</f>
        <v/>
      </c>
      <c r="L55" s="19">
        <f>IF(Setup!F70&gt;0,K55/Setup!F70,0)</f>
        <v/>
      </c>
      <c r="M55" s="19">
        <f>M54+L55</f>
        <v/>
      </c>
      <c r="N55" s="18">
        <f>M55*Setup!H70</f>
        <v/>
      </c>
      <c r="O55" s="18">
        <f>M55*Setup!G70</f>
        <v/>
      </c>
      <c r="P55" s="18">
        <f>Setup!$B$3*Setup!$C$11</f>
        <v/>
      </c>
      <c r="Q55" s="19">
        <f>IF(Setup!I70&gt;0,P55/Setup!I70,0)</f>
        <v/>
      </c>
      <c r="R55" s="19">
        <f>R54+Q55</f>
        <v/>
      </c>
      <c r="S55" s="18">
        <f>R55*Setup!K70</f>
        <v/>
      </c>
      <c r="T55" s="18">
        <f>R55*Setup!J70</f>
        <v/>
      </c>
      <c r="U55" s="18">
        <f>Setup!$B$3*Setup!$C$12</f>
        <v/>
      </c>
      <c r="V55" s="19">
        <f>IF(Setup!L70&gt;0,U55/Setup!L70,0)</f>
        <v/>
      </c>
      <c r="W55" s="19">
        <f>W54+V55</f>
        <v/>
      </c>
      <c r="X55" s="18">
        <f>W55*Setup!N70</f>
        <v/>
      </c>
      <c r="Y55" s="18">
        <f>W55*Setup!M70</f>
        <v/>
      </c>
      <c r="Z55" s="18">
        <f>Setup!$B$3*Setup!$C$13</f>
        <v/>
      </c>
      <c r="AA55" s="19">
        <f>IF(Setup!O70&gt;0,Z55/Setup!O70,0)</f>
        <v/>
      </c>
      <c r="AB55" s="19">
        <f>AB54+AA55</f>
        <v/>
      </c>
      <c r="AC55" s="18">
        <f>AB55*Setup!Q70</f>
        <v/>
      </c>
      <c r="AD55" s="18">
        <f>AB55*Setup!P70</f>
        <v/>
      </c>
      <c r="AE55" s="18">
        <f>I55+N55+S55+X55+AC55</f>
        <v/>
      </c>
      <c r="AF55" s="18">
        <f>E55+AE55</f>
        <v/>
      </c>
      <c r="AG55" s="18">
        <f>AG54+F55+K55+P55+U55+Z55</f>
        <v/>
      </c>
      <c r="AH55" s="18">
        <f>J55+O55+T55+Y55+AD55</f>
        <v/>
      </c>
      <c r="AI55" s="18">
        <f>ROUND(AI54*(1+B55/12),2)+Setup!$B$3</f>
        <v/>
      </c>
    </row>
    <row r="56">
      <c r="A56" s="8">
        <f>Setup!A71</f>
        <v/>
      </c>
      <c r="B56" s="9">
        <f>Setup!B71</f>
        <v/>
      </c>
      <c r="C56" s="10">
        <f>AF55</f>
        <v/>
      </c>
      <c r="D56" s="16">
        <f>ROUND(C56*B56/12,2)</f>
        <v/>
      </c>
      <c r="E56" s="16">
        <f>C56+D56</f>
        <v/>
      </c>
      <c r="F56" s="16">
        <f>Setup!$B$3*Setup!$C$9</f>
        <v/>
      </c>
      <c r="G56" s="17">
        <f>IF(Setup!C71&gt;0,F56/Setup!C71,0)</f>
        <v/>
      </c>
      <c r="H56" s="17">
        <f>H55+G56</f>
        <v/>
      </c>
      <c r="I56" s="16">
        <f>H56*Setup!E71</f>
        <v/>
      </c>
      <c r="J56" s="16">
        <f>H56*Setup!D71</f>
        <v/>
      </c>
      <c r="K56" s="16">
        <f>Setup!$B$3*Setup!$C$10</f>
        <v/>
      </c>
      <c r="L56" s="17">
        <f>IF(Setup!F71&gt;0,K56/Setup!F71,0)</f>
        <v/>
      </c>
      <c r="M56" s="17">
        <f>M55+L56</f>
        <v/>
      </c>
      <c r="N56" s="16">
        <f>M56*Setup!H71</f>
        <v/>
      </c>
      <c r="O56" s="16">
        <f>M56*Setup!G71</f>
        <v/>
      </c>
      <c r="P56" s="16">
        <f>Setup!$B$3*Setup!$C$11</f>
        <v/>
      </c>
      <c r="Q56" s="17">
        <f>IF(Setup!I71&gt;0,P56/Setup!I71,0)</f>
        <v/>
      </c>
      <c r="R56" s="17">
        <f>R55+Q56</f>
        <v/>
      </c>
      <c r="S56" s="16">
        <f>R56*Setup!K71</f>
        <v/>
      </c>
      <c r="T56" s="16">
        <f>R56*Setup!J71</f>
        <v/>
      </c>
      <c r="U56" s="16">
        <f>Setup!$B$3*Setup!$C$12</f>
        <v/>
      </c>
      <c r="V56" s="17">
        <f>IF(Setup!L71&gt;0,U56/Setup!L71,0)</f>
        <v/>
      </c>
      <c r="W56" s="17">
        <f>W55+V56</f>
        <v/>
      </c>
      <c r="X56" s="16">
        <f>W56*Setup!N71</f>
        <v/>
      </c>
      <c r="Y56" s="16">
        <f>W56*Setup!M71</f>
        <v/>
      </c>
      <c r="Z56" s="16">
        <f>Setup!$B$3*Setup!$C$13</f>
        <v/>
      </c>
      <c r="AA56" s="17">
        <f>IF(Setup!O71&gt;0,Z56/Setup!O71,0)</f>
        <v/>
      </c>
      <c r="AB56" s="17">
        <f>AB55+AA56</f>
        <v/>
      </c>
      <c r="AC56" s="16">
        <f>AB56*Setup!Q71</f>
        <v/>
      </c>
      <c r="AD56" s="16">
        <f>AB56*Setup!P71</f>
        <v/>
      </c>
      <c r="AE56" s="16">
        <f>I56+N56+S56+X56+AC56</f>
        <v/>
      </c>
      <c r="AF56" s="16">
        <f>E56+AE56</f>
        <v/>
      </c>
      <c r="AG56" s="16">
        <f>AG55+F56+K56+P56+U56+Z56</f>
        <v/>
      </c>
      <c r="AH56" s="16">
        <f>J56+O56+T56+Y56+AD56</f>
        <v/>
      </c>
      <c r="AI56" s="16">
        <f>ROUND(AI55*(1+B56/12),2)+Setup!$B$3</f>
        <v/>
      </c>
    </row>
    <row r="57">
      <c r="A57" s="6">
        <f>Setup!A72</f>
        <v/>
      </c>
      <c r="B57" s="12">
        <f>Setup!B72</f>
        <v/>
      </c>
      <c r="C57" s="13">
        <f>AF56</f>
        <v/>
      </c>
      <c r="D57" s="18">
        <f>ROUND(C57*B57/12,2)</f>
        <v/>
      </c>
      <c r="E57" s="18">
        <f>C57+D57</f>
        <v/>
      </c>
      <c r="F57" s="18">
        <f>Setup!$B$3*Setup!$C$9</f>
        <v/>
      </c>
      <c r="G57" s="19">
        <f>IF(Setup!C72&gt;0,F57/Setup!C72,0)</f>
        <v/>
      </c>
      <c r="H57" s="19">
        <f>H56+G57</f>
        <v/>
      </c>
      <c r="I57" s="18">
        <f>H57*Setup!E72</f>
        <v/>
      </c>
      <c r="J57" s="18">
        <f>H57*Setup!D72</f>
        <v/>
      </c>
      <c r="K57" s="18">
        <f>Setup!$B$3*Setup!$C$10</f>
        <v/>
      </c>
      <c r="L57" s="19">
        <f>IF(Setup!F72&gt;0,K57/Setup!F72,0)</f>
        <v/>
      </c>
      <c r="M57" s="19">
        <f>M56+L57</f>
        <v/>
      </c>
      <c r="N57" s="18">
        <f>M57*Setup!H72</f>
        <v/>
      </c>
      <c r="O57" s="18">
        <f>M57*Setup!G72</f>
        <v/>
      </c>
      <c r="P57" s="18">
        <f>Setup!$B$3*Setup!$C$11</f>
        <v/>
      </c>
      <c r="Q57" s="19">
        <f>IF(Setup!I72&gt;0,P57/Setup!I72,0)</f>
        <v/>
      </c>
      <c r="R57" s="19">
        <f>R56+Q57</f>
        <v/>
      </c>
      <c r="S57" s="18">
        <f>R57*Setup!K72</f>
        <v/>
      </c>
      <c r="T57" s="18">
        <f>R57*Setup!J72</f>
        <v/>
      </c>
      <c r="U57" s="18">
        <f>Setup!$B$3*Setup!$C$12</f>
        <v/>
      </c>
      <c r="V57" s="19">
        <f>IF(Setup!L72&gt;0,U57/Setup!L72,0)</f>
        <v/>
      </c>
      <c r="W57" s="19">
        <f>W56+V57</f>
        <v/>
      </c>
      <c r="X57" s="18">
        <f>W57*Setup!N72</f>
        <v/>
      </c>
      <c r="Y57" s="18">
        <f>W57*Setup!M72</f>
        <v/>
      </c>
      <c r="Z57" s="18">
        <f>Setup!$B$3*Setup!$C$13</f>
        <v/>
      </c>
      <c r="AA57" s="19">
        <f>IF(Setup!O72&gt;0,Z57/Setup!O72,0)</f>
        <v/>
      </c>
      <c r="AB57" s="19">
        <f>AB56+AA57</f>
        <v/>
      </c>
      <c r="AC57" s="18">
        <f>AB57*Setup!Q72</f>
        <v/>
      </c>
      <c r="AD57" s="18">
        <f>AB57*Setup!P72</f>
        <v/>
      </c>
      <c r="AE57" s="18">
        <f>I57+N57+S57+X57+AC57</f>
        <v/>
      </c>
      <c r="AF57" s="18">
        <f>E57+AE57</f>
        <v/>
      </c>
      <c r="AG57" s="18">
        <f>AG56+F57+K57+P57+U57+Z57</f>
        <v/>
      </c>
      <c r="AH57" s="18">
        <f>J57+O57+T57+Y57+AD57</f>
        <v/>
      </c>
      <c r="AI57" s="18">
        <f>ROUND(AI56*(1+B57/12),2)+Setup!$B$3</f>
        <v/>
      </c>
    </row>
    <row r="58">
      <c r="A58" s="8">
        <f>Setup!A73</f>
        <v/>
      </c>
      <c r="B58" s="9">
        <f>Setup!B73</f>
        <v/>
      </c>
      <c r="C58" s="10">
        <f>AF57</f>
        <v/>
      </c>
      <c r="D58" s="16">
        <f>ROUND(C58*B58/12,2)</f>
        <v/>
      </c>
      <c r="E58" s="16">
        <f>C58+D58</f>
        <v/>
      </c>
      <c r="F58" s="16">
        <f>Setup!$B$3*Setup!$C$9</f>
        <v/>
      </c>
      <c r="G58" s="17">
        <f>IF(Setup!C73&gt;0,F58/Setup!C73,0)</f>
        <v/>
      </c>
      <c r="H58" s="17">
        <f>H57+G58</f>
        <v/>
      </c>
      <c r="I58" s="16">
        <f>H58*Setup!E73</f>
        <v/>
      </c>
      <c r="J58" s="16">
        <f>H58*Setup!D73</f>
        <v/>
      </c>
      <c r="K58" s="16">
        <f>Setup!$B$3*Setup!$C$10</f>
        <v/>
      </c>
      <c r="L58" s="17">
        <f>IF(Setup!F73&gt;0,K58/Setup!F73,0)</f>
        <v/>
      </c>
      <c r="M58" s="17">
        <f>M57+L58</f>
        <v/>
      </c>
      <c r="N58" s="16">
        <f>M58*Setup!H73</f>
        <v/>
      </c>
      <c r="O58" s="16">
        <f>M58*Setup!G73</f>
        <v/>
      </c>
      <c r="P58" s="16">
        <f>Setup!$B$3*Setup!$C$11</f>
        <v/>
      </c>
      <c r="Q58" s="17">
        <f>IF(Setup!I73&gt;0,P58/Setup!I73,0)</f>
        <v/>
      </c>
      <c r="R58" s="17">
        <f>R57+Q58</f>
        <v/>
      </c>
      <c r="S58" s="16">
        <f>R58*Setup!K73</f>
        <v/>
      </c>
      <c r="T58" s="16">
        <f>R58*Setup!J73</f>
        <v/>
      </c>
      <c r="U58" s="16">
        <f>Setup!$B$3*Setup!$C$12</f>
        <v/>
      </c>
      <c r="V58" s="17">
        <f>IF(Setup!L73&gt;0,U58/Setup!L73,0)</f>
        <v/>
      </c>
      <c r="W58" s="17">
        <f>W57+V58</f>
        <v/>
      </c>
      <c r="X58" s="16">
        <f>W58*Setup!N73</f>
        <v/>
      </c>
      <c r="Y58" s="16">
        <f>W58*Setup!M73</f>
        <v/>
      </c>
      <c r="Z58" s="16">
        <f>Setup!$B$3*Setup!$C$13</f>
        <v/>
      </c>
      <c r="AA58" s="17">
        <f>IF(Setup!O73&gt;0,Z58/Setup!O73,0)</f>
        <v/>
      </c>
      <c r="AB58" s="17">
        <f>AB57+AA58</f>
        <v/>
      </c>
      <c r="AC58" s="16">
        <f>AB58*Setup!Q73</f>
        <v/>
      </c>
      <c r="AD58" s="16">
        <f>AB58*Setup!P73</f>
        <v/>
      </c>
      <c r="AE58" s="16">
        <f>I58+N58+S58+X58+AC58</f>
        <v/>
      </c>
      <c r="AF58" s="16">
        <f>E58+AE58</f>
        <v/>
      </c>
      <c r="AG58" s="16">
        <f>AG57+F58+K58+P58+U58+Z58</f>
        <v/>
      </c>
      <c r="AH58" s="16">
        <f>J58+O58+T58+Y58+AD58</f>
        <v/>
      </c>
      <c r="AI58" s="16">
        <f>ROUND(AI57*(1+B58/12),2)+Setup!$B$3</f>
        <v/>
      </c>
    </row>
    <row r="59">
      <c r="A59" s="6">
        <f>Setup!A74</f>
        <v/>
      </c>
      <c r="B59" s="12">
        <f>Setup!B74</f>
        <v/>
      </c>
      <c r="C59" s="13">
        <f>AF58</f>
        <v/>
      </c>
      <c r="D59" s="18">
        <f>ROUND(C59*B59/12,2)</f>
        <v/>
      </c>
      <c r="E59" s="18">
        <f>C59+D59</f>
        <v/>
      </c>
      <c r="F59" s="18">
        <f>Setup!$B$3*Setup!$C$9</f>
        <v/>
      </c>
      <c r="G59" s="19">
        <f>IF(Setup!C74&gt;0,F59/Setup!C74,0)</f>
        <v/>
      </c>
      <c r="H59" s="19">
        <f>H58+G59</f>
        <v/>
      </c>
      <c r="I59" s="18">
        <f>H59*Setup!E74</f>
        <v/>
      </c>
      <c r="J59" s="18">
        <f>H59*Setup!D74</f>
        <v/>
      </c>
      <c r="K59" s="18">
        <f>Setup!$B$3*Setup!$C$10</f>
        <v/>
      </c>
      <c r="L59" s="19">
        <f>IF(Setup!F74&gt;0,K59/Setup!F74,0)</f>
        <v/>
      </c>
      <c r="M59" s="19">
        <f>M58+L59</f>
        <v/>
      </c>
      <c r="N59" s="18">
        <f>M59*Setup!H74</f>
        <v/>
      </c>
      <c r="O59" s="18">
        <f>M59*Setup!G74</f>
        <v/>
      </c>
      <c r="P59" s="18">
        <f>Setup!$B$3*Setup!$C$11</f>
        <v/>
      </c>
      <c r="Q59" s="19">
        <f>IF(Setup!I74&gt;0,P59/Setup!I74,0)</f>
        <v/>
      </c>
      <c r="R59" s="19">
        <f>R58+Q59</f>
        <v/>
      </c>
      <c r="S59" s="18">
        <f>R59*Setup!K74</f>
        <v/>
      </c>
      <c r="T59" s="18">
        <f>R59*Setup!J74</f>
        <v/>
      </c>
      <c r="U59" s="18">
        <f>Setup!$B$3*Setup!$C$12</f>
        <v/>
      </c>
      <c r="V59" s="19">
        <f>IF(Setup!L74&gt;0,U59/Setup!L74,0)</f>
        <v/>
      </c>
      <c r="W59" s="19">
        <f>W58+V59</f>
        <v/>
      </c>
      <c r="X59" s="18">
        <f>W59*Setup!N74</f>
        <v/>
      </c>
      <c r="Y59" s="18">
        <f>W59*Setup!M74</f>
        <v/>
      </c>
      <c r="Z59" s="18">
        <f>Setup!$B$3*Setup!$C$13</f>
        <v/>
      </c>
      <c r="AA59" s="19">
        <f>IF(Setup!O74&gt;0,Z59/Setup!O74,0)</f>
        <v/>
      </c>
      <c r="AB59" s="19">
        <f>AB58+AA59</f>
        <v/>
      </c>
      <c r="AC59" s="18">
        <f>AB59*Setup!Q74</f>
        <v/>
      </c>
      <c r="AD59" s="18">
        <f>AB59*Setup!P74</f>
        <v/>
      </c>
      <c r="AE59" s="18">
        <f>I59+N59+S59+X59+AC59</f>
        <v/>
      </c>
      <c r="AF59" s="18">
        <f>E59+AE59</f>
        <v/>
      </c>
      <c r="AG59" s="18">
        <f>AG58+F59+K59+P59+U59+Z59</f>
        <v/>
      </c>
      <c r="AH59" s="18">
        <f>J59+O59+T59+Y59+AD59</f>
        <v/>
      </c>
      <c r="AI59" s="18">
        <f>ROUND(AI58*(1+B59/12),2)+Setup!$B$3</f>
        <v/>
      </c>
    </row>
    <row r="60">
      <c r="A60" s="8">
        <f>Setup!A75</f>
        <v/>
      </c>
      <c r="B60" s="9">
        <f>Setup!B75</f>
        <v/>
      </c>
      <c r="C60" s="10">
        <f>AF59</f>
        <v/>
      </c>
      <c r="D60" s="16">
        <f>ROUND(C60*B60/12,2)</f>
        <v/>
      </c>
      <c r="E60" s="16">
        <f>C60+D60</f>
        <v/>
      </c>
      <c r="F60" s="16">
        <f>Setup!$B$3*Setup!$C$9</f>
        <v/>
      </c>
      <c r="G60" s="17">
        <f>IF(Setup!C75&gt;0,F60/Setup!C75,0)</f>
        <v/>
      </c>
      <c r="H60" s="17">
        <f>H59+G60</f>
        <v/>
      </c>
      <c r="I60" s="16">
        <f>H60*Setup!E75</f>
        <v/>
      </c>
      <c r="J60" s="16">
        <f>H60*Setup!D75</f>
        <v/>
      </c>
      <c r="K60" s="16">
        <f>Setup!$B$3*Setup!$C$10</f>
        <v/>
      </c>
      <c r="L60" s="17">
        <f>IF(Setup!F75&gt;0,K60/Setup!F75,0)</f>
        <v/>
      </c>
      <c r="M60" s="17">
        <f>M59+L60</f>
        <v/>
      </c>
      <c r="N60" s="16">
        <f>M60*Setup!H75</f>
        <v/>
      </c>
      <c r="O60" s="16">
        <f>M60*Setup!G75</f>
        <v/>
      </c>
      <c r="P60" s="16">
        <f>Setup!$B$3*Setup!$C$11</f>
        <v/>
      </c>
      <c r="Q60" s="17">
        <f>IF(Setup!I75&gt;0,P60/Setup!I75,0)</f>
        <v/>
      </c>
      <c r="R60" s="17">
        <f>R59+Q60</f>
        <v/>
      </c>
      <c r="S60" s="16">
        <f>R60*Setup!K75</f>
        <v/>
      </c>
      <c r="T60" s="16">
        <f>R60*Setup!J75</f>
        <v/>
      </c>
      <c r="U60" s="16">
        <f>Setup!$B$3*Setup!$C$12</f>
        <v/>
      </c>
      <c r="V60" s="17">
        <f>IF(Setup!L75&gt;0,U60/Setup!L75,0)</f>
        <v/>
      </c>
      <c r="W60" s="17">
        <f>W59+V60</f>
        <v/>
      </c>
      <c r="X60" s="16">
        <f>W60*Setup!N75</f>
        <v/>
      </c>
      <c r="Y60" s="16">
        <f>W60*Setup!M75</f>
        <v/>
      </c>
      <c r="Z60" s="16">
        <f>Setup!$B$3*Setup!$C$13</f>
        <v/>
      </c>
      <c r="AA60" s="17">
        <f>IF(Setup!O75&gt;0,Z60/Setup!O75,0)</f>
        <v/>
      </c>
      <c r="AB60" s="17">
        <f>AB59+AA60</f>
        <v/>
      </c>
      <c r="AC60" s="16">
        <f>AB60*Setup!Q75</f>
        <v/>
      </c>
      <c r="AD60" s="16">
        <f>AB60*Setup!P75</f>
        <v/>
      </c>
      <c r="AE60" s="16">
        <f>I60+N60+S60+X60+AC60</f>
        <v/>
      </c>
      <c r="AF60" s="16">
        <f>E60+AE60</f>
        <v/>
      </c>
      <c r="AG60" s="16">
        <f>AG59+F60+K60+P60+U60+Z60</f>
        <v/>
      </c>
      <c r="AH60" s="16">
        <f>J60+O60+T60+Y60+AD60</f>
        <v/>
      </c>
      <c r="AI60" s="16">
        <f>ROUND(AI59*(1+B60/12),2)+Setup!$B$3</f>
        <v/>
      </c>
    </row>
    <row r="61">
      <c r="A61" s="6">
        <f>Setup!A76</f>
        <v/>
      </c>
      <c r="B61" s="12">
        <f>Setup!B76</f>
        <v/>
      </c>
      <c r="C61" s="13">
        <f>AF60</f>
        <v/>
      </c>
      <c r="D61" s="18">
        <f>ROUND(C61*B61/12,2)</f>
        <v/>
      </c>
      <c r="E61" s="18">
        <f>C61+D61</f>
        <v/>
      </c>
      <c r="F61" s="18">
        <f>Setup!$B$3*Setup!$C$9</f>
        <v/>
      </c>
      <c r="G61" s="19">
        <f>IF(Setup!C76&gt;0,F61/Setup!C76,0)</f>
        <v/>
      </c>
      <c r="H61" s="19">
        <f>H60+G61</f>
        <v/>
      </c>
      <c r="I61" s="18">
        <f>H61*Setup!E76</f>
        <v/>
      </c>
      <c r="J61" s="18">
        <f>H61*Setup!D76</f>
        <v/>
      </c>
      <c r="K61" s="18">
        <f>Setup!$B$3*Setup!$C$10</f>
        <v/>
      </c>
      <c r="L61" s="19">
        <f>IF(Setup!F76&gt;0,K61/Setup!F76,0)</f>
        <v/>
      </c>
      <c r="M61" s="19">
        <f>M60+L61</f>
        <v/>
      </c>
      <c r="N61" s="18">
        <f>M61*Setup!H76</f>
        <v/>
      </c>
      <c r="O61" s="18">
        <f>M61*Setup!G76</f>
        <v/>
      </c>
      <c r="P61" s="18">
        <f>Setup!$B$3*Setup!$C$11</f>
        <v/>
      </c>
      <c r="Q61" s="19">
        <f>IF(Setup!I76&gt;0,P61/Setup!I76,0)</f>
        <v/>
      </c>
      <c r="R61" s="19">
        <f>R60+Q61</f>
        <v/>
      </c>
      <c r="S61" s="18">
        <f>R61*Setup!K76</f>
        <v/>
      </c>
      <c r="T61" s="18">
        <f>R61*Setup!J76</f>
        <v/>
      </c>
      <c r="U61" s="18">
        <f>Setup!$B$3*Setup!$C$12</f>
        <v/>
      </c>
      <c r="V61" s="19">
        <f>IF(Setup!L76&gt;0,U61/Setup!L76,0)</f>
        <v/>
      </c>
      <c r="W61" s="19">
        <f>W60+V61</f>
        <v/>
      </c>
      <c r="X61" s="18">
        <f>W61*Setup!N76</f>
        <v/>
      </c>
      <c r="Y61" s="18">
        <f>W61*Setup!M76</f>
        <v/>
      </c>
      <c r="Z61" s="18">
        <f>Setup!$B$3*Setup!$C$13</f>
        <v/>
      </c>
      <c r="AA61" s="19">
        <f>IF(Setup!O76&gt;0,Z61/Setup!O76,0)</f>
        <v/>
      </c>
      <c r="AB61" s="19">
        <f>AB60+AA61</f>
        <v/>
      </c>
      <c r="AC61" s="18">
        <f>AB61*Setup!Q76</f>
        <v/>
      </c>
      <c r="AD61" s="18">
        <f>AB61*Setup!P76</f>
        <v/>
      </c>
      <c r="AE61" s="18">
        <f>I61+N61+S61+X61+AC61</f>
        <v/>
      </c>
      <c r="AF61" s="18">
        <f>E61+AE61</f>
        <v/>
      </c>
      <c r="AG61" s="18">
        <f>AG60+F61+K61+P61+U61+Z61</f>
        <v/>
      </c>
      <c r="AH61" s="18">
        <f>J61+O61+T61+Y61+AD61</f>
        <v/>
      </c>
      <c r="AI61" s="18">
        <f>ROUND(AI60*(1+B61/12),2)+Setup!$B$3</f>
        <v/>
      </c>
    </row>
    <row r="62">
      <c r="A62" s="8">
        <f>Setup!A77</f>
        <v/>
      </c>
      <c r="B62" s="9">
        <f>Setup!B77</f>
        <v/>
      </c>
      <c r="C62" s="10">
        <f>AF61</f>
        <v/>
      </c>
      <c r="D62" s="16">
        <f>ROUND(C62*B62/12,2)</f>
        <v/>
      </c>
      <c r="E62" s="16">
        <f>C62+D62</f>
        <v/>
      </c>
      <c r="F62" s="16">
        <f>Setup!$B$3*Setup!$C$9</f>
        <v/>
      </c>
      <c r="G62" s="17">
        <f>IF(Setup!C77&gt;0,F62/Setup!C77,0)</f>
        <v/>
      </c>
      <c r="H62" s="17">
        <f>H61+G62</f>
        <v/>
      </c>
      <c r="I62" s="16">
        <f>H62*Setup!E77</f>
        <v/>
      </c>
      <c r="J62" s="16">
        <f>H62*Setup!D77</f>
        <v/>
      </c>
      <c r="K62" s="16">
        <f>Setup!$B$3*Setup!$C$10</f>
        <v/>
      </c>
      <c r="L62" s="17">
        <f>IF(Setup!F77&gt;0,K62/Setup!F77,0)</f>
        <v/>
      </c>
      <c r="M62" s="17">
        <f>M61+L62</f>
        <v/>
      </c>
      <c r="N62" s="16">
        <f>M62*Setup!H77</f>
        <v/>
      </c>
      <c r="O62" s="16">
        <f>M62*Setup!G77</f>
        <v/>
      </c>
      <c r="P62" s="16">
        <f>Setup!$B$3*Setup!$C$11</f>
        <v/>
      </c>
      <c r="Q62" s="17">
        <f>IF(Setup!I77&gt;0,P62/Setup!I77,0)</f>
        <v/>
      </c>
      <c r="R62" s="17">
        <f>R61+Q62</f>
        <v/>
      </c>
      <c r="S62" s="16">
        <f>R62*Setup!K77</f>
        <v/>
      </c>
      <c r="T62" s="16">
        <f>R62*Setup!J77</f>
        <v/>
      </c>
      <c r="U62" s="16">
        <f>Setup!$B$3*Setup!$C$12</f>
        <v/>
      </c>
      <c r="V62" s="17">
        <f>IF(Setup!L77&gt;0,U62/Setup!L77,0)</f>
        <v/>
      </c>
      <c r="W62" s="17">
        <f>W61+V62</f>
        <v/>
      </c>
      <c r="X62" s="16">
        <f>W62*Setup!N77</f>
        <v/>
      </c>
      <c r="Y62" s="16">
        <f>W62*Setup!M77</f>
        <v/>
      </c>
      <c r="Z62" s="16">
        <f>Setup!$B$3*Setup!$C$13</f>
        <v/>
      </c>
      <c r="AA62" s="17">
        <f>IF(Setup!O77&gt;0,Z62/Setup!O77,0)</f>
        <v/>
      </c>
      <c r="AB62" s="17">
        <f>AB61+AA62</f>
        <v/>
      </c>
      <c r="AC62" s="16">
        <f>AB62*Setup!Q77</f>
        <v/>
      </c>
      <c r="AD62" s="16">
        <f>AB62*Setup!P77</f>
        <v/>
      </c>
      <c r="AE62" s="16">
        <f>I62+N62+S62+X62+AC62</f>
        <v/>
      </c>
      <c r="AF62" s="16">
        <f>E62+AE62</f>
        <v/>
      </c>
      <c r="AG62" s="16">
        <f>AG61+F62+K62+P62+U62+Z62</f>
        <v/>
      </c>
      <c r="AH62" s="16">
        <f>J62+O62+T62+Y62+AD62</f>
        <v/>
      </c>
      <c r="AI62" s="16">
        <f>ROUND(AI61*(1+B62/12),2)+Setup!$B$3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</cols>
  <sheetData>
    <row r="1">
      <c r="A1" s="15" t="inlineStr">
        <is>
          <t>Year</t>
        </is>
      </c>
      <c r="B1" s="15" t="inlineStr">
        <is>
          <t>Invested</t>
        </is>
      </c>
      <c r="C1" s="15" t="inlineStr">
        <is>
          <t>Cum Invested</t>
        </is>
      </c>
      <c r="D1" s="15" t="inlineStr">
        <is>
          <t>Dividends</t>
        </is>
      </c>
      <c r="E1" s="15" t="inlineStr">
        <is>
          <t>MM Interest</t>
        </is>
      </c>
      <c r="F1" s="15" t="inlineStr">
        <is>
          <t>End Stock Value</t>
        </is>
      </c>
      <c r="G1" s="15" t="inlineStr">
        <is>
          <t>End Div Bal</t>
        </is>
      </c>
    </row>
    <row r="2">
      <c r="A2" s="20" t="n">
        <v>2021</v>
      </c>
      <c r="B2" s="16">
        <f>SUM('Monthly Sim'!F2:F12)+SUM('Monthly Sim'!K2:K12)+SUM('Monthly Sim'!P2:P12)+SUM('Monthly Sim'!U2:U12)+SUM('Monthly Sim'!Z2:Z12)</f>
        <v/>
      </c>
      <c r="C2" s="16">
        <f>'Monthly Sim'!AG12</f>
        <v/>
      </c>
      <c r="D2" s="16">
        <f>SUM('Monthly Sim'!AE2:AE12)</f>
        <v/>
      </c>
      <c r="E2" s="16">
        <f>SUM('Monthly Sim'!D2:D12)</f>
        <v/>
      </c>
      <c r="F2" s="16">
        <f>'Monthly Sim'!AH12</f>
        <v/>
      </c>
      <c r="G2" s="16">
        <f>'Monthly Sim'!AF12</f>
        <v/>
      </c>
    </row>
    <row r="3">
      <c r="A3" s="21" t="n">
        <v>2022</v>
      </c>
      <c r="B3" s="18">
        <f>SUM('Monthly Sim'!F13:F24)+SUM('Monthly Sim'!K13:K24)+SUM('Monthly Sim'!P13:P24)+SUM('Monthly Sim'!U13:U24)+SUM('Monthly Sim'!Z13:Z24)</f>
        <v/>
      </c>
      <c r="C3" s="18">
        <f>'Monthly Sim'!AG24</f>
        <v/>
      </c>
      <c r="D3" s="18">
        <f>SUM('Monthly Sim'!AE13:AE24)</f>
        <v/>
      </c>
      <c r="E3" s="18">
        <f>SUM('Monthly Sim'!D13:D24)</f>
        <v/>
      </c>
      <c r="F3" s="18">
        <f>'Monthly Sim'!AH24</f>
        <v/>
      </c>
      <c r="G3" s="18">
        <f>'Monthly Sim'!AF24</f>
        <v/>
      </c>
    </row>
    <row r="4">
      <c r="A4" s="20" t="n">
        <v>2023</v>
      </c>
      <c r="B4" s="16">
        <f>SUM('Monthly Sim'!F25:F36)+SUM('Monthly Sim'!K25:K36)+SUM('Monthly Sim'!P25:P36)+SUM('Monthly Sim'!U25:U36)+SUM('Monthly Sim'!Z25:Z36)</f>
        <v/>
      </c>
      <c r="C4" s="16">
        <f>'Monthly Sim'!AG36</f>
        <v/>
      </c>
      <c r="D4" s="16">
        <f>SUM('Monthly Sim'!AE25:AE36)</f>
        <v/>
      </c>
      <c r="E4" s="16">
        <f>SUM('Monthly Sim'!D25:D36)</f>
        <v/>
      </c>
      <c r="F4" s="16">
        <f>'Monthly Sim'!AH36</f>
        <v/>
      </c>
      <c r="G4" s="16">
        <f>'Monthly Sim'!AF36</f>
        <v/>
      </c>
    </row>
    <row r="5">
      <c r="A5" s="21" t="n">
        <v>2024</v>
      </c>
      <c r="B5" s="18">
        <f>SUM('Monthly Sim'!F37:F48)+SUM('Monthly Sim'!K37:K48)+SUM('Monthly Sim'!P37:P48)+SUM('Monthly Sim'!U37:U48)+SUM('Monthly Sim'!Z37:Z48)</f>
        <v/>
      </c>
      <c r="C5" s="18">
        <f>'Monthly Sim'!AG48</f>
        <v/>
      </c>
      <c r="D5" s="18">
        <f>SUM('Monthly Sim'!AE37:AE48)</f>
        <v/>
      </c>
      <c r="E5" s="18">
        <f>SUM('Monthly Sim'!D37:D48)</f>
        <v/>
      </c>
      <c r="F5" s="18">
        <f>'Monthly Sim'!AH48</f>
        <v/>
      </c>
      <c r="G5" s="18">
        <f>'Monthly Sim'!AF48</f>
        <v/>
      </c>
    </row>
    <row r="6">
      <c r="A6" s="20" t="n">
        <v>2025</v>
      </c>
      <c r="B6" s="16">
        <f>SUM('Monthly Sim'!F49:F60)+SUM('Monthly Sim'!K49:K60)+SUM('Monthly Sim'!P49:P60)+SUM('Monthly Sim'!U49:U60)+SUM('Monthly Sim'!Z49:Z60)</f>
        <v/>
      </c>
      <c r="C6" s="16">
        <f>'Monthly Sim'!AG60</f>
        <v/>
      </c>
      <c r="D6" s="16">
        <f>SUM('Monthly Sim'!AE49:AE60)</f>
        <v/>
      </c>
      <c r="E6" s="16">
        <f>SUM('Monthly Sim'!D49:D60)</f>
        <v/>
      </c>
      <c r="F6" s="16">
        <f>'Monthly Sim'!AH60</f>
        <v/>
      </c>
      <c r="G6" s="16">
        <f>'Monthly Sim'!AF60</f>
        <v/>
      </c>
    </row>
    <row r="7">
      <c r="A7" s="21" t="n">
        <v>2026</v>
      </c>
      <c r="B7" s="18">
        <f>SUM('Monthly Sim'!F61:F62)+SUM('Monthly Sim'!K61:K62)+SUM('Monthly Sim'!P61:P62)+SUM('Monthly Sim'!U61:U62)+SUM('Monthly Sim'!Z61:Z62)</f>
        <v/>
      </c>
      <c r="C7" s="18">
        <f>'Monthly Sim'!AG62</f>
        <v/>
      </c>
      <c r="D7" s="18">
        <f>SUM('Monthly Sim'!AE61:AE62)</f>
        <v/>
      </c>
      <c r="E7" s="18">
        <f>SUM('Monthly Sim'!D61:D62)</f>
        <v/>
      </c>
      <c r="F7" s="18">
        <f>'Monthly Sim'!AH62</f>
        <v/>
      </c>
      <c r="G7" s="18">
        <f>'Monthly Sim'!AF62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0" customWidth="1" min="4" max="4"/>
    <col width="17" customWidth="1" min="5" max="5"/>
    <col width="13" customWidth="1" min="6" max="6"/>
  </cols>
  <sheetData>
    <row r="1">
      <c r="A1" s="22" t="inlineStr">
        <is>
          <t>Year</t>
        </is>
      </c>
      <c r="B1" s="22" t="inlineStr">
        <is>
          <t>Dividends</t>
        </is>
      </c>
      <c r="C1" s="22" t="inlineStr">
        <is>
          <t>Tax on Dividends</t>
        </is>
      </c>
      <c r="D1" s="22" t="inlineStr">
        <is>
          <t>MM Interest</t>
        </is>
      </c>
      <c r="E1" s="22" t="inlineStr">
        <is>
          <t>Tax on Interest</t>
        </is>
      </c>
      <c r="F1" s="22" t="inlineStr">
        <is>
          <t>Total Taxes</t>
        </is>
      </c>
    </row>
    <row r="2">
      <c r="A2" s="20">
        <f>'Year Summary'!A2</f>
        <v/>
      </c>
      <c r="B2" s="16">
        <f>'Year Summary'!D2</f>
        <v/>
      </c>
      <c r="C2" s="16">
        <f>B2*Setup!$B$5</f>
        <v/>
      </c>
      <c r="D2" s="16">
        <f>'Year Summary'!E2</f>
        <v/>
      </c>
      <c r="E2" s="16">
        <f>D2*Setup!$B$5</f>
        <v/>
      </c>
      <c r="F2" s="16">
        <f>C2+E2</f>
        <v/>
      </c>
    </row>
    <row r="3">
      <c r="A3" s="21">
        <f>'Year Summary'!A3</f>
        <v/>
      </c>
      <c r="B3" s="18">
        <f>'Year Summary'!D3</f>
        <v/>
      </c>
      <c r="C3" s="18">
        <f>B3*Setup!$B$5</f>
        <v/>
      </c>
      <c r="D3" s="18">
        <f>'Year Summary'!E3</f>
        <v/>
      </c>
      <c r="E3" s="18">
        <f>D3*Setup!$B$5</f>
        <v/>
      </c>
      <c r="F3" s="18">
        <f>C3+E3</f>
        <v/>
      </c>
    </row>
    <row r="4">
      <c r="A4" s="20">
        <f>'Year Summary'!A4</f>
        <v/>
      </c>
      <c r="B4" s="16">
        <f>'Year Summary'!D4</f>
        <v/>
      </c>
      <c r="C4" s="16">
        <f>B4*Setup!$B$5</f>
        <v/>
      </c>
      <c r="D4" s="16">
        <f>'Year Summary'!E4</f>
        <v/>
      </c>
      <c r="E4" s="16">
        <f>D4*Setup!$B$5</f>
        <v/>
      </c>
      <c r="F4" s="16">
        <f>C4+E4</f>
        <v/>
      </c>
    </row>
    <row r="5">
      <c r="A5" s="21">
        <f>'Year Summary'!A5</f>
        <v/>
      </c>
      <c r="B5" s="18">
        <f>'Year Summary'!D5</f>
        <v/>
      </c>
      <c r="C5" s="18">
        <f>B5*Setup!$B$5</f>
        <v/>
      </c>
      <c r="D5" s="18">
        <f>'Year Summary'!E5</f>
        <v/>
      </c>
      <c r="E5" s="18">
        <f>D5*Setup!$B$5</f>
        <v/>
      </c>
      <c r="F5" s="18">
        <f>C5+E5</f>
        <v/>
      </c>
    </row>
    <row r="6">
      <c r="A6" s="20">
        <f>'Year Summary'!A6</f>
        <v/>
      </c>
      <c r="B6" s="16">
        <f>'Year Summary'!D6</f>
        <v/>
      </c>
      <c r="C6" s="16">
        <f>B6*Setup!$B$5</f>
        <v/>
      </c>
      <c r="D6" s="16">
        <f>'Year Summary'!E6</f>
        <v/>
      </c>
      <c r="E6" s="16">
        <f>D6*Setup!$B$5</f>
        <v/>
      </c>
      <c r="F6" s="16">
        <f>C6+E6</f>
        <v/>
      </c>
    </row>
    <row r="7">
      <c r="A7" s="21">
        <f>'Year Summary'!A7</f>
        <v/>
      </c>
      <c r="B7" s="18">
        <f>'Year Summary'!D7</f>
        <v/>
      </c>
      <c r="C7" s="18">
        <f>B7*Setup!$B$5</f>
        <v/>
      </c>
      <c r="D7" s="18">
        <f>'Year Summary'!E7</f>
        <v/>
      </c>
      <c r="E7" s="18">
        <f>D7*Setup!$B$5</f>
        <v/>
      </c>
      <c r="F7" s="18">
        <f>C7+E7</f>
        <v/>
      </c>
    </row>
    <row r="8">
      <c r="A8" s="23" t="inlineStr">
        <is>
          <t>TOTAL</t>
        </is>
      </c>
      <c r="B8" s="24">
        <f>SUM(B2:B7)</f>
        <v/>
      </c>
      <c r="C8" s="24">
        <f>SUM(C2:C7)</f>
        <v/>
      </c>
      <c r="D8" s="24">
        <f>SUM(D2:D7)</f>
        <v/>
      </c>
      <c r="E8" s="24">
        <f>SUM(E2:E7)</f>
        <v/>
      </c>
      <c r="F8" s="24">
        <f>SUM(F2:F7)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0" customWidth="1" min="5" max="5"/>
    <col width="22" customWidth="1" min="6" max="6"/>
    <col width="22" customWidth="1" min="7" max="7"/>
    <col width="16" customWidth="1" min="8" max="8"/>
    <col width="18" customWidth="1" min="9" max="9"/>
  </cols>
  <sheetData>
    <row r="1">
      <c r="A1" s="15" t="inlineStr">
        <is>
          <t>Year</t>
        </is>
      </c>
      <c r="B1" s="15" t="inlineStr">
        <is>
          <t>Invested</t>
        </is>
      </c>
      <c r="C1" s="15" t="inlineStr">
        <is>
          <t>Dividends</t>
        </is>
      </c>
      <c r="D1" s="15" t="inlineStr">
        <is>
          <t>MM Interest</t>
        </is>
      </c>
      <c r="E1" s="15" t="inlineStr">
        <is>
          <t>Stock Value</t>
        </is>
      </c>
      <c r="F1" s="15" t="inlineStr">
        <is>
          <t>Portfolio Value</t>
        </is>
      </c>
      <c r="G1" s="15" t="inlineStr">
        <is>
          <t>After-Tax Value</t>
        </is>
      </c>
      <c r="H1" s="15" t="inlineStr">
        <is>
          <t>Pre-Tax Return</t>
        </is>
      </c>
      <c r="I1" s="15" t="inlineStr">
        <is>
          <t>After-Tax Return</t>
        </is>
      </c>
    </row>
    <row r="2">
      <c r="A2" s="25">
        <f>'Year Summary'!A2</f>
        <v/>
      </c>
      <c r="B2" s="26">
        <f>'Year Summary'!B2</f>
        <v/>
      </c>
      <c r="C2" s="26">
        <f>'Year Summary'!D2</f>
        <v/>
      </c>
      <c r="D2" s="26">
        <f>'Year Summary'!E2</f>
        <v/>
      </c>
      <c r="E2" s="26">
        <f>'Year Summary'!F2</f>
        <v/>
      </c>
      <c r="F2" s="26">
        <f>'Year Summary'!F2+'Year Summary'!G2</f>
        <v/>
      </c>
      <c r="G2" s="26">
        <f>F2-'Tax Impact'!F2</f>
        <v/>
      </c>
      <c r="H2" s="27">
        <f>C9</f>
        <v/>
      </c>
      <c r="I2" s="27">
        <f>C10</f>
        <v/>
      </c>
    </row>
    <row r="3">
      <c r="A3" s="28" t="inlineStr"/>
      <c r="B3" s="29" t="inlineStr">
        <is>
          <t>Beginning Stock Value</t>
        </is>
      </c>
      <c r="C3" s="30" t="n">
        <v>0</v>
      </c>
      <c r="D3" s="31" t="n"/>
      <c r="E3" s="31" t="n"/>
      <c r="F3" s="31" t="n"/>
      <c r="G3" s="31" t="n"/>
      <c r="H3" s="31" t="n"/>
      <c r="I3" s="31" t="n"/>
    </row>
    <row r="4">
      <c r="A4" s="28" t="inlineStr"/>
      <c r="B4" s="29" t="inlineStr">
        <is>
          <t>Stock Gain</t>
        </is>
      </c>
      <c r="C4" s="30">
        <f>E2-C3-B2</f>
        <v/>
      </c>
      <c r="D4" s="32" t="inlineStr">
        <is>
          <t>End Stock Value - Beginning - Invested</t>
        </is>
      </c>
      <c r="E4" s="31" t="n"/>
      <c r="F4" s="31" t="n"/>
      <c r="G4" s="31" t="n"/>
      <c r="H4" s="31" t="n"/>
      <c r="I4" s="31" t="n"/>
    </row>
    <row r="5">
      <c r="A5" s="28" t="inlineStr"/>
      <c r="B5" s="29" t="inlineStr">
        <is>
          <t>Avg Invested Capital</t>
        </is>
      </c>
      <c r="C5" s="30">
        <f>B2*0.542</f>
        <v/>
      </c>
      <c r="D5" s="32" t="inlineStr">
        <is>
          <t>Invested x 0.542 (DCA mid-year)</t>
        </is>
      </c>
      <c r="E5" s="31" t="n"/>
      <c r="F5" s="31" t="n"/>
      <c r="G5" s="31" t="n"/>
      <c r="H5" s="31" t="n"/>
      <c r="I5" s="31" t="n"/>
    </row>
    <row r="6">
      <c r="A6" s="28" t="inlineStr"/>
      <c r="B6" s="29" t="inlineStr">
        <is>
          <t>Base Capital (Denominator)</t>
        </is>
      </c>
      <c r="C6" s="30">
        <f>C3+C5</f>
        <v/>
      </c>
      <c r="D6" s="32" t="inlineStr">
        <is>
          <t>Beginning Stock Value + Avg Invested</t>
        </is>
      </c>
      <c r="E6" s="31" t="n"/>
      <c r="F6" s="31" t="n"/>
      <c r="G6" s="31" t="n"/>
      <c r="H6" s="31" t="n"/>
      <c r="I6" s="31" t="n"/>
    </row>
    <row r="7">
      <c r="A7" s="28" t="inlineStr"/>
      <c r="B7" s="29" t="inlineStr">
        <is>
          <t>Total Gain (Numerator)</t>
        </is>
      </c>
      <c r="C7" s="30">
        <f>C4+C2+D2</f>
        <v/>
      </c>
      <c r="D7" s="32" t="inlineStr">
        <is>
          <t>Stock Gain + Dividends + MM Interest</t>
        </is>
      </c>
      <c r="E7" s="31" t="n"/>
      <c r="F7" s="31" t="n"/>
      <c r="G7" s="31" t="n"/>
      <c r="H7" s="31" t="n"/>
      <c r="I7" s="31" t="n"/>
    </row>
    <row r="8">
      <c r="A8" s="28" t="inlineStr"/>
      <c r="B8" s="29" t="inlineStr">
        <is>
          <t>After-Tax Gain</t>
        </is>
      </c>
      <c r="C8" s="30">
        <f>C4+(C2-'Tax Impact'!C2)+(D2-'Tax Impact'!E2)</f>
        <v/>
      </c>
      <c r="D8" s="32" t="inlineStr">
        <is>
          <t>Stock Gain + (Divs-Tax) + (MMInt-Tax)</t>
        </is>
      </c>
      <c r="E8" s="31" t="n"/>
      <c r="F8" s="31" t="n"/>
      <c r="G8" s="31" t="n"/>
      <c r="H8" s="31" t="n"/>
      <c r="I8" s="31" t="n"/>
    </row>
    <row r="9">
      <c r="A9" s="28" t="inlineStr"/>
      <c r="B9" s="29" t="inlineStr">
        <is>
          <t>Pre-Tax Return</t>
        </is>
      </c>
      <c r="C9" s="33">
        <f>IF(C6&gt;0,C7/C6,0)</f>
        <v/>
      </c>
      <c r="D9" s="32" t="inlineStr">
        <is>
          <t>Total Gain / Base Capital</t>
        </is>
      </c>
      <c r="E9" s="31" t="n"/>
      <c r="F9" s="31" t="n"/>
      <c r="G9" s="31" t="n"/>
      <c r="H9" s="31" t="n"/>
      <c r="I9" s="31" t="n"/>
    </row>
    <row r="10">
      <c r="A10" s="28" t="inlineStr"/>
      <c r="B10" s="29" t="inlineStr">
        <is>
          <t>After-Tax Return</t>
        </is>
      </c>
      <c r="C10" s="33">
        <f>IF(C6&gt;0,C8/C6,0)</f>
        <v/>
      </c>
      <c r="D10" s="32" t="inlineStr">
        <is>
          <t>After-Tax Gain / Base Capital</t>
        </is>
      </c>
      <c r="E10" s="31" t="n"/>
      <c r="F10" s="31" t="n"/>
      <c r="G10" s="31" t="n"/>
      <c r="H10" s="31" t="n"/>
      <c r="I10" s="31" t="n"/>
    </row>
    <row r="11"/>
    <row r="12">
      <c r="A12" s="25">
        <f>'Year Summary'!A3</f>
        <v/>
      </c>
      <c r="B12" s="26">
        <f>'Year Summary'!B3</f>
        <v/>
      </c>
      <c r="C12" s="26">
        <f>'Year Summary'!D3</f>
        <v/>
      </c>
      <c r="D12" s="26">
        <f>'Year Summary'!E3</f>
        <v/>
      </c>
      <c r="E12" s="26">
        <f>'Year Summary'!F3</f>
        <v/>
      </c>
      <c r="F12" s="26">
        <f>'Year Summary'!F3+'Year Summary'!G3</f>
        <v/>
      </c>
      <c r="G12" s="26">
        <f>F12-'Tax Impact'!F3</f>
        <v/>
      </c>
      <c r="H12" s="27">
        <f>C19</f>
        <v/>
      </c>
      <c r="I12" s="27">
        <f>C20</f>
        <v/>
      </c>
    </row>
    <row r="13">
      <c r="A13" s="28" t="inlineStr"/>
      <c r="B13" s="29" t="inlineStr">
        <is>
          <t>Beginning Stock Value</t>
        </is>
      </c>
      <c r="C13" s="30">
        <f>'Year Summary'!F2</f>
        <v/>
      </c>
      <c r="D13" s="31" t="n"/>
      <c r="E13" s="31" t="n"/>
      <c r="F13" s="31" t="n"/>
      <c r="G13" s="31" t="n"/>
      <c r="H13" s="31" t="n"/>
      <c r="I13" s="31" t="n"/>
    </row>
    <row r="14">
      <c r="A14" s="28" t="inlineStr"/>
      <c r="B14" s="29" t="inlineStr">
        <is>
          <t>Stock Gain</t>
        </is>
      </c>
      <c r="C14" s="30">
        <f>E12-C13-B12</f>
        <v/>
      </c>
      <c r="D14" s="32" t="inlineStr">
        <is>
          <t>End Stock Value - Beginning - Invested</t>
        </is>
      </c>
      <c r="E14" s="31" t="n"/>
      <c r="F14" s="31" t="n"/>
      <c r="G14" s="31" t="n"/>
      <c r="H14" s="31" t="n"/>
      <c r="I14" s="31" t="n"/>
    </row>
    <row r="15">
      <c r="A15" s="28" t="inlineStr"/>
      <c r="B15" s="29" t="inlineStr">
        <is>
          <t>Avg Invested Capital</t>
        </is>
      </c>
      <c r="C15" s="30">
        <f>B12*0.542</f>
        <v/>
      </c>
      <c r="D15" s="32" t="inlineStr">
        <is>
          <t>Invested x 0.542 (DCA mid-year)</t>
        </is>
      </c>
      <c r="E15" s="31" t="n"/>
      <c r="F15" s="31" t="n"/>
      <c r="G15" s="31" t="n"/>
      <c r="H15" s="31" t="n"/>
      <c r="I15" s="31" t="n"/>
    </row>
    <row r="16">
      <c r="A16" s="28" t="inlineStr"/>
      <c r="B16" s="29" t="inlineStr">
        <is>
          <t>Base Capital (Denominator)</t>
        </is>
      </c>
      <c r="C16" s="30">
        <f>C13+C15</f>
        <v/>
      </c>
      <c r="D16" s="32" t="inlineStr">
        <is>
          <t>Beginning Stock Value + Avg Invested</t>
        </is>
      </c>
      <c r="E16" s="31" t="n"/>
      <c r="F16" s="31" t="n"/>
      <c r="G16" s="31" t="n"/>
      <c r="H16" s="31" t="n"/>
      <c r="I16" s="31" t="n"/>
    </row>
    <row r="17">
      <c r="A17" s="28" t="inlineStr"/>
      <c r="B17" s="29" t="inlineStr">
        <is>
          <t>Total Gain (Numerator)</t>
        </is>
      </c>
      <c r="C17" s="30">
        <f>C14+C12+D12</f>
        <v/>
      </c>
      <c r="D17" s="32" t="inlineStr">
        <is>
          <t>Stock Gain + Dividends + MM Interest</t>
        </is>
      </c>
      <c r="E17" s="31" t="n"/>
      <c r="F17" s="31" t="n"/>
      <c r="G17" s="31" t="n"/>
      <c r="H17" s="31" t="n"/>
      <c r="I17" s="31" t="n"/>
    </row>
    <row r="18">
      <c r="A18" s="28" t="inlineStr"/>
      <c r="B18" s="29" t="inlineStr">
        <is>
          <t>After-Tax Gain</t>
        </is>
      </c>
      <c r="C18" s="30">
        <f>C14+(C12-'Tax Impact'!C3)+(D12-'Tax Impact'!E3)</f>
        <v/>
      </c>
      <c r="D18" s="32" t="inlineStr">
        <is>
          <t>Stock Gain + (Divs-Tax) + (MMInt-Tax)</t>
        </is>
      </c>
      <c r="E18" s="31" t="n"/>
      <c r="F18" s="31" t="n"/>
      <c r="G18" s="31" t="n"/>
      <c r="H18" s="31" t="n"/>
      <c r="I18" s="31" t="n"/>
    </row>
    <row r="19">
      <c r="A19" s="28" t="inlineStr"/>
      <c r="B19" s="29" t="inlineStr">
        <is>
          <t>Pre-Tax Return</t>
        </is>
      </c>
      <c r="C19" s="33">
        <f>IF(C16&gt;0,C17/C16,0)</f>
        <v/>
      </c>
      <c r="D19" s="32" t="inlineStr">
        <is>
          <t>Total Gain / Base Capital</t>
        </is>
      </c>
      <c r="E19" s="31" t="n"/>
      <c r="F19" s="31" t="n"/>
      <c r="G19" s="31" t="n"/>
      <c r="H19" s="31" t="n"/>
      <c r="I19" s="31" t="n"/>
    </row>
    <row r="20">
      <c r="A20" s="28" t="inlineStr"/>
      <c r="B20" s="29" t="inlineStr">
        <is>
          <t>After-Tax Return</t>
        </is>
      </c>
      <c r="C20" s="33">
        <f>IF(C16&gt;0,C18/C16,0)</f>
        <v/>
      </c>
      <c r="D20" s="32" t="inlineStr">
        <is>
          <t>After-Tax Gain / Base Capital</t>
        </is>
      </c>
      <c r="E20" s="31" t="n"/>
      <c r="F20" s="31" t="n"/>
      <c r="G20" s="31" t="n"/>
      <c r="H20" s="31" t="n"/>
      <c r="I20" s="31" t="n"/>
    </row>
    <row r="21"/>
    <row r="22">
      <c r="A22" s="25">
        <f>'Year Summary'!A4</f>
        <v/>
      </c>
      <c r="B22" s="26">
        <f>'Year Summary'!B4</f>
        <v/>
      </c>
      <c r="C22" s="26">
        <f>'Year Summary'!D4</f>
        <v/>
      </c>
      <c r="D22" s="26">
        <f>'Year Summary'!E4</f>
        <v/>
      </c>
      <c r="E22" s="26">
        <f>'Year Summary'!F4</f>
        <v/>
      </c>
      <c r="F22" s="26">
        <f>'Year Summary'!F4+'Year Summary'!G4</f>
        <v/>
      </c>
      <c r="G22" s="26">
        <f>F22-'Tax Impact'!F4</f>
        <v/>
      </c>
      <c r="H22" s="27">
        <f>C29</f>
        <v/>
      </c>
      <c r="I22" s="27">
        <f>C30</f>
        <v/>
      </c>
    </row>
    <row r="23">
      <c r="A23" s="28" t="inlineStr"/>
      <c r="B23" s="29" t="inlineStr">
        <is>
          <t>Beginning Stock Value</t>
        </is>
      </c>
      <c r="C23" s="30">
        <f>'Year Summary'!F3</f>
        <v/>
      </c>
      <c r="D23" s="31" t="n"/>
      <c r="E23" s="31" t="n"/>
      <c r="F23" s="31" t="n"/>
      <c r="G23" s="31" t="n"/>
      <c r="H23" s="31" t="n"/>
      <c r="I23" s="31" t="n"/>
    </row>
    <row r="24">
      <c r="A24" s="28" t="inlineStr"/>
      <c r="B24" s="29" t="inlineStr">
        <is>
          <t>Stock Gain</t>
        </is>
      </c>
      <c r="C24" s="30">
        <f>E22-C23-B22</f>
        <v/>
      </c>
      <c r="D24" s="32" t="inlineStr">
        <is>
          <t>End Stock Value - Beginning - Invested</t>
        </is>
      </c>
      <c r="E24" s="31" t="n"/>
      <c r="F24" s="31" t="n"/>
      <c r="G24" s="31" t="n"/>
      <c r="H24" s="31" t="n"/>
      <c r="I24" s="31" t="n"/>
    </row>
    <row r="25">
      <c r="A25" s="28" t="inlineStr"/>
      <c r="B25" s="29" t="inlineStr">
        <is>
          <t>Avg Invested Capital</t>
        </is>
      </c>
      <c r="C25" s="30">
        <f>B22*0.542</f>
        <v/>
      </c>
      <c r="D25" s="32" t="inlineStr">
        <is>
          <t>Invested x 0.542 (DCA mid-year)</t>
        </is>
      </c>
      <c r="E25" s="31" t="n"/>
      <c r="F25" s="31" t="n"/>
      <c r="G25" s="31" t="n"/>
      <c r="H25" s="31" t="n"/>
      <c r="I25" s="31" t="n"/>
    </row>
    <row r="26">
      <c r="A26" s="28" t="inlineStr"/>
      <c r="B26" s="29" t="inlineStr">
        <is>
          <t>Base Capital (Denominator)</t>
        </is>
      </c>
      <c r="C26" s="30">
        <f>C23+C25</f>
        <v/>
      </c>
      <c r="D26" s="32" t="inlineStr">
        <is>
          <t>Beginning Stock Value + Avg Invested</t>
        </is>
      </c>
      <c r="E26" s="31" t="n"/>
      <c r="F26" s="31" t="n"/>
      <c r="G26" s="31" t="n"/>
      <c r="H26" s="31" t="n"/>
      <c r="I26" s="31" t="n"/>
    </row>
    <row r="27">
      <c r="A27" s="28" t="inlineStr"/>
      <c r="B27" s="29" t="inlineStr">
        <is>
          <t>Total Gain (Numerator)</t>
        </is>
      </c>
      <c r="C27" s="30">
        <f>C24+C22+D22</f>
        <v/>
      </c>
      <c r="D27" s="32" t="inlineStr">
        <is>
          <t>Stock Gain + Dividends + MM Interest</t>
        </is>
      </c>
      <c r="E27" s="31" t="n"/>
      <c r="F27" s="31" t="n"/>
      <c r="G27" s="31" t="n"/>
      <c r="H27" s="31" t="n"/>
      <c r="I27" s="31" t="n"/>
    </row>
    <row r="28">
      <c r="A28" s="28" t="inlineStr"/>
      <c r="B28" s="29" t="inlineStr">
        <is>
          <t>After-Tax Gain</t>
        </is>
      </c>
      <c r="C28" s="30">
        <f>C24+(C22-'Tax Impact'!C4)+(D22-'Tax Impact'!E4)</f>
        <v/>
      </c>
      <c r="D28" s="32" t="inlineStr">
        <is>
          <t>Stock Gain + (Divs-Tax) + (MMInt-Tax)</t>
        </is>
      </c>
      <c r="E28" s="31" t="n"/>
      <c r="F28" s="31" t="n"/>
      <c r="G28" s="31" t="n"/>
      <c r="H28" s="31" t="n"/>
      <c r="I28" s="31" t="n"/>
    </row>
    <row r="29">
      <c r="A29" s="28" t="inlineStr"/>
      <c r="B29" s="29" t="inlineStr">
        <is>
          <t>Pre-Tax Return</t>
        </is>
      </c>
      <c r="C29" s="33">
        <f>IF(C26&gt;0,C27/C26,0)</f>
        <v/>
      </c>
      <c r="D29" s="32" t="inlineStr">
        <is>
          <t>Total Gain / Base Capital</t>
        </is>
      </c>
      <c r="E29" s="31" t="n"/>
      <c r="F29" s="31" t="n"/>
      <c r="G29" s="31" t="n"/>
      <c r="H29" s="31" t="n"/>
      <c r="I29" s="31" t="n"/>
    </row>
    <row r="30">
      <c r="A30" s="28" t="inlineStr"/>
      <c r="B30" s="29" t="inlineStr">
        <is>
          <t>After-Tax Return</t>
        </is>
      </c>
      <c r="C30" s="33">
        <f>IF(C26&gt;0,C28/C26,0)</f>
        <v/>
      </c>
      <c r="D30" s="32" t="inlineStr">
        <is>
          <t>After-Tax Gain / Base Capital</t>
        </is>
      </c>
      <c r="E30" s="31" t="n"/>
      <c r="F30" s="31" t="n"/>
      <c r="G30" s="31" t="n"/>
      <c r="H30" s="31" t="n"/>
      <c r="I30" s="31" t="n"/>
    </row>
    <row r="31"/>
    <row r="32">
      <c r="A32" s="25">
        <f>'Year Summary'!A5</f>
        <v/>
      </c>
      <c r="B32" s="26">
        <f>'Year Summary'!B5</f>
        <v/>
      </c>
      <c r="C32" s="26">
        <f>'Year Summary'!D5</f>
        <v/>
      </c>
      <c r="D32" s="26">
        <f>'Year Summary'!E5</f>
        <v/>
      </c>
      <c r="E32" s="26">
        <f>'Year Summary'!F5</f>
        <v/>
      </c>
      <c r="F32" s="26">
        <f>'Year Summary'!F5+'Year Summary'!G5</f>
        <v/>
      </c>
      <c r="G32" s="26">
        <f>F32-'Tax Impact'!F5</f>
        <v/>
      </c>
      <c r="H32" s="27">
        <f>C39</f>
        <v/>
      </c>
      <c r="I32" s="27">
        <f>C40</f>
        <v/>
      </c>
    </row>
    <row r="33">
      <c r="A33" s="28" t="inlineStr"/>
      <c r="B33" s="29" t="inlineStr">
        <is>
          <t>Beginning Stock Value</t>
        </is>
      </c>
      <c r="C33" s="30">
        <f>'Year Summary'!F4</f>
        <v/>
      </c>
      <c r="D33" s="31" t="n"/>
      <c r="E33" s="31" t="n"/>
      <c r="F33" s="31" t="n"/>
      <c r="G33" s="31" t="n"/>
      <c r="H33" s="31" t="n"/>
      <c r="I33" s="31" t="n"/>
    </row>
    <row r="34">
      <c r="A34" s="28" t="inlineStr"/>
      <c r="B34" s="29" t="inlineStr">
        <is>
          <t>Stock Gain</t>
        </is>
      </c>
      <c r="C34" s="30">
        <f>E32-C33-B32</f>
        <v/>
      </c>
      <c r="D34" s="32" t="inlineStr">
        <is>
          <t>End Stock Value - Beginning - Invested</t>
        </is>
      </c>
      <c r="E34" s="31" t="n"/>
      <c r="F34" s="31" t="n"/>
      <c r="G34" s="31" t="n"/>
      <c r="H34" s="31" t="n"/>
      <c r="I34" s="31" t="n"/>
    </row>
    <row r="35">
      <c r="A35" s="28" t="inlineStr"/>
      <c r="B35" s="29" t="inlineStr">
        <is>
          <t>Avg Invested Capital</t>
        </is>
      </c>
      <c r="C35" s="30">
        <f>B32*0.542</f>
        <v/>
      </c>
      <c r="D35" s="32" t="inlineStr">
        <is>
          <t>Invested x 0.542 (DCA mid-year)</t>
        </is>
      </c>
      <c r="E35" s="31" t="n"/>
      <c r="F35" s="31" t="n"/>
      <c r="G35" s="31" t="n"/>
      <c r="H35" s="31" t="n"/>
      <c r="I35" s="31" t="n"/>
    </row>
    <row r="36">
      <c r="A36" s="28" t="inlineStr"/>
      <c r="B36" s="29" t="inlineStr">
        <is>
          <t>Base Capital (Denominator)</t>
        </is>
      </c>
      <c r="C36" s="30">
        <f>C33+C35</f>
        <v/>
      </c>
      <c r="D36" s="32" t="inlineStr">
        <is>
          <t>Beginning Stock Value + Avg Invested</t>
        </is>
      </c>
      <c r="E36" s="31" t="n"/>
      <c r="F36" s="31" t="n"/>
      <c r="G36" s="31" t="n"/>
      <c r="H36" s="31" t="n"/>
      <c r="I36" s="31" t="n"/>
    </row>
    <row r="37">
      <c r="A37" s="28" t="inlineStr"/>
      <c r="B37" s="29" t="inlineStr">
        <is>
          <t>Total Gain (Numerator)</t>
        </is>
      </c>
      <c r="C37" s="30">
        <f>C34+C32+D32</f>
        <v/>
      </c>
      <c r="D37" s="32" t="inlineStr">
        <is>
          <t>Stock Gain + Dividends + MM Interest</t>
        </is>
      </c>
      <c r="E37" s="31" t="n"/>
      <c r="F37" s="31" t="n"/>
      <c r="G37" s="31" t="n"/>
      <c r="H37" s="31" t="n"/>
      <c r="I37" s="31" t="n"/>
    </row>
    <row r="38">
      <c r="A38" s="28" t="inlineStr"/>
      <c r="B38" s="29" t="inlineStr">
        <is>
          <t>After-Tax Gain</t>
        </is>
      </c>
      <c r="C38" s="30">
        <f>C34+(C32-'Tax Impact'!C5)+(D32-'Tax Impact'!E5)</f>
        <v/>
      </c>
      <c r="D38" s="32" t="inlineStr">
        <is>
          <t>Stock Gain + (Divs-Tax) + (MMInt-Tax)</t>
        </is>
      </c>
      <c r="E38" s="31" t="n"/>
      <c r="F38" s="31" t="n"/>
      <c r="G38" s="31" t="n"/>
      <c r="H38" s="31" t="n"/>
      <c r="I38" s="31" t="n"/>
    </row>
    <row r="39">
      <c r="A39" s="28" t="inlineStr"/>
      <c r="B39" s="29" t="inlineStr">
        <is>
          <t>Pre-Tax Return</t>
        </is>
      </c>
      <c r="C39" s="33">
        <f>IF(C36&gt;0,C37/C36,0)</f>
        <v/>
      </c>
      <c r="D39" s="32" t="inlineStr">
        <is>
          <t>Total Gain / Base Capital</t>
        </is>
      </c>
      <c r="E39" s="31" t="n"/>
      <c r="F39" s="31" t="n"/>
      <c r="G39" s="31" t="n"/>
      <c r="H39" s="31" t="n"/>
      <c r="I39" s="31" t="n"/>
    </row>
    <row r="40">
      <c r="A40" s="28" t="inlineStr"/>
      <c r="B40" s="29" t="inlineStr">
        <is>
          <t>After-Tax Return</t>
        </is>
      </c>
      <c r="C40" s="33">
        <f>IF(C36&gt;0,C38/C36,0)</f>
        <v/>
      </c>
      <c r="D40" s="32" t="inlineStr">
        <is>
          <t>After-Tax Gain / Base Capital</t>
        </is>
      </c>
      <c r="E40" s="31" t="n"/>
      <c r="F40" s="31" t="n"/>
      <c r="G40" s="31" t="n"/>
      <c r="H40" s="31" t="n"/>
      <c r="I40" s="31" t="n"/>
    </row>
    <row r="41"/>
    <row r="42">
      <c r="A42" s="25">
        <f>'Year Summary'!A6</f>
        <v/>
      </c>
      <c r="B42" s="26">
        <f>'Year Summary'!B6</f>
        <v/>
      </c>
      <c r="C42" s="26">
        <f>'Year Summary'!D6</f>
        <v/>
      </c>
      <c r="D42" s="26">
        <f>'Year Summary'!E6</f>
        <v/>
      </c>
      <c r="E42" s="26">
        <f>'Year Summary'!F6</f>
        <v/>
      </c>
      <c r="F42" s="26">
        <f>'Year Summary'!F6+'Year Summary'!G6</f>
        <v/>
      </c>
      <c r="G42" s="26">
        <f>F42-'Tax Impact'!F6</f>
        <v/>
      </c>
      <c r="H42" s="27">
        <f>C49</f>
        <v/>
      </c>
      <c r="I42" s="27">
        <f>C50</f>
        <v/>
      </c>
    </row>
    <row r="43">
      <c r="A43" s="28" t="inlineStr"/>
      <c r="B43" s="29" t="inlineStr">
        <is>
          <t>Beginning Stock Value</t>
        </is>
      </c>
      <c r="C43" s="30">
        <f>'Year Summary'!F5</f>
        <v/>
      </c>
      <c r="D43" s="31" t="n"/>
      <c r="E43" s="31" t="n"/>
      <c r="F43" s="31" t="n"/>
      <c r="G43" s="31" t="n"/>
      <c r="H43" s="31" t="n"/>
      <c r="I43" s="31" t="n"/>
    </row>
    <row r="44">
      <c r="A44" s="28" t="inlineStr"/>
      <c r="B44" s="29" t="inlineStr">
        <is>
          <t>Stock Gain</t>
        </is>
      </c>
      <c r="C44" s="30">
        <f>E42-C43-B42</f>
        <v/>
      </c>
      <c r="D44" s="32" t="inlineStr">
        <is>
          <t>End Stock Value - Beginning - Invested</t>
        </is>
      </c>
      <c r="E44" s="31" t="n"/>
      <c r="F44" s="31" t="n"/>
      <c r="G44" s="31" t="n"/>
      <c r="H44" s="31" t="n"/>
      <c r="I44" s="31" t="n"/>
    </row>
    <row r="45">
      <c r="A45" s="28" t="inlineStr"/>
      <c r="B45" s="29" t="inlineStr">
        <is>
          <t>Avg Invested Capital</t>
        </is>
      </c>
      <c r="C45" s="30">
        <f>B42*0.542</f>
        <v/>
      </c>
      <c r="D45" s="32" t="inlineStr">
        <is>
          <t>Invested x 0.542 (DCA mid-year)</t>
        </is>
      </c>
      <c r="E45" s="31" t="n"/>
      <c r="F45" s="31" t="n"/>
      <c r="G45" s="31" t="n"/>
      <c r="H45" s="31" t="n"/>
      <c r="I45" s="31" t="n"/>
    </row>
    <row r="46">
      <c r="A46" s="28" t="inlineStr"/>
      <c r="B46" s="29" t="inlineStr">
        <is>
          <t>Base Capital (Denominator)</t>
        </is>
      </c>
      <c r="C46" s="30">
        <f>C43+C45</f>
        <v/>
      </c>
      <c r="D46" s="32" t="inlineStr">
        <is>
          <t>Beginning Stock Value + Avg Invested</t>
        </is>
      </c>
      <c r="E46" s="31" t="n"/>
      <c r="F46" s="31" t="n"/>
      <c r="G46" s="31" t="n"/>
      <c r="H46" s="31" t="n"/>
      <c r="I46" s="31" t="n"/>
    </row>
    <row r="47">
      <c r="A47" s="28" t="inlineStr"/>
      <c r="B47" s="29" t="inlineStr">
        <is>
          <t>Total Gain (Numerator)</t>
        </is>
      </c>
      <c r="C47" s="30">
        <f>C44+C42+D42</f>
        <v/>
      </c>
      <c r="D47" s="32" t="inlineStr">
        <is>
          <t>Stock Gain + Dividends + MM Interest</t>
        </is>
      </c>
      <c r="E47" s="31" t="n"/>
      <c r="F47" s="31" t="n"/>
      <c r="G47" s="31" t="n"/>
      <c r="H47" s="31" t="n"/>
      <c r="I47" s="31" t="n"/>
    </row>
    <row r="48">
      <c r="A48" s="28" t="inlineStr"/>
      <c r="B48" s="29" t="inlineStr">
        <is>
          <t>After-Tax Gain</t>
        </is>
      </c>
      <c r="C48" s="30">
        <f>C44+(C42-'Tax Impact'!C6)+(D42-'Tax Impact'!E6)</f>
        <v/>
      </c>
      <c r="D48" s="32" t="inlineStr">
        <is>
          <t>Stock Gain + (Divs-Tax) + (MMInt-Tax)</t>
        </is>
      </c>
      <c r="E48" s="31" t="n"/>
      <c r="F48" s="31" t="n"/>
      <c r="G48" s="31" t="n"/>
      <c r="H48" s="31" t="n"/>
      <c r="I48" s="31" t="n"/>
    </row>
    <row r="49">
      <c r="A49" s="28" t="inlineStr"/>
      <c r="B49" s="29" t="inlineStr">
        <is>
          <t>Pre-Tax Return</t>
        </is>
      </c>
      <c r="C49" s="33">
        <f>IF(C46&gt;0,C47/C46,0)</f>
        <v/>
      </c>
      <c r="D49" s="32" t="inlineStr">
        <is>
          <t>Total Gain / Base Capital</t>
        </is>
      </c>
      <c r="E49" s="31" t="n"/>
      <c r="F49" s="31" t="n"/>
      <c r="G49" s="31" t="n"/>
      <c r="H49" s="31" t="n"/>
      <c r="I49" s="31" t="n"/>
    </row>
    <row r="50">
      <c r="A50" s="28" t="inlineStr"/>
      <c r="B50" s="29" t="inlineStr">
        <is>
          <t>After-Tax Return</t>
        </is>
      </c>
      <c r="C50" s="33">
        <f>IF(C46&gt;0,C48/C46,0)</f>
        <v/>
      </c>
      <c r="D50" s="32" t="inlineStr">
        <is>
          <t>After-Tax Gain / Base Capital</t>
        </is>
      </c>
      <c r="E50" s="31" t="n"/>
      <c r="F50" s="31" t="n"/>
      <c r="G50" s="31" t="n"/>
      <c r="H50" s="31" t="n"/>
      <c r="I50" s="31" t="n"/>
    </row>
    <row r="51"/>
    <row r="52">
      <c r="A52" s="25">
        <f>'Year Summary'!A7</f>
        <v/>
      </c>
      <c r="B52" s="26">
        <f>'Year Summary'!B7</f>
        <v/>
      </c>
      <c r="C52" s="26">
        <f>'Year Summary'!D7</f>
        <v/>
      </c>
      <c r="D52" s="26">
        <f>'Year Summary'!E7</f>
        <v/>
      </c>
      <c r="E52" s="26">
        <f>'Year Summary'!F7</f>
        <v/>
      </c>
      <c r="F52" s="26">
        <f>'Year Summary'!F7+'Year Summary'!G7</f>
        <v/>
      </c>
      <c r="G52" s="26">
        <f>F52-'Tax Impact'!F7</f>
        <v/>
      </c>
      <c r="H52" s="27">
        <f>C59</f>
        <v/>
      </c>
      <c r="I52" s="27">
        <f>C60</f>
        <v/>
      </c>
    </row>
    <row r="53">
      <c r="A53" s="28" t="inlineStr"/>
      <c r="B53" s="29" t="inlineStr">
        <is>
          <t>Beginning Stock Value</t>
        </is>
      </c>
      <c r="C53" s="30">
        <f>'Year Summary'!F6</f>
        <v/>
      </c>
      <c r="D53" s="31" t="n"/>
      <c r="E53" s="31" t="n"/>
      <c r="F53" s="31" t="n"/>
      <c r="G53" s="31" t="n"/>
      <c r="H53" s="31" t="n"/>
      <c r="I53" s="31" t="n"/>
    </row>
    <row r="54">
      <c r="A54" s="28" t="inlineStr"/>
      <c r="B54" s="29" t="inlineStr">
        <is>
          <t>Stock Gain</t>
        </is>
      </c>
      <c r="C54" s="30">
        <f>E52-C53-B52</f>
        <v/>
      </c>
      <c r="D54" s="32" t="inlineStr">
        <is>
          <t>End Stock Value - Beginning - Invested</t>
        </is>
      </c>
      <c r="E54" s="31" t="n"/>
      <c r="F54" s="31" t="n"/>
      <c r="G54" s="31" t="n"/>
      <c r="H54" s="31" t="n"/>
      <c r="I54" s="31" t="n"/>
    </row>
    <row r="55">
      <c r="A55" s="28" t="inlineStr"/>
      <c r="B55" s="29" t="inlineStr">
        <is>
          <t>Avg Invested Capital</t>
        </is>
      </c>
      <c r="C55" s="30">
        <f>B52*0.542</f>
        <v/>
      </c>
      <c r="D55" s="32" t="inlineStr">
        <is>
          <t>Invested x 0.542 (DCA mid-year)</t>
        </is>
      </c>
      <c r="E55" s="31" t="n"/>
      <c r="F55" s="31" t="n"/>
      <c r="G55" s="31" t="n"/>
      <c r="H55" s="31" t="n"/>
      <c r="I55" s="31" t="n"/>
    </row>
    <row r="56">
      <c r="A56" s="28" t="inlineStr"/>
      <c r="B56" s="29" t="inlineStr">
        <is>
          <t>Base Capital (Denominator)</t>
        </is>
      </c>
      <c r="C56" s="30">
        <f>C53+C55</f>
        <v/>
      </c>
      <c r="D56" s="32" t="inlineStr">
        <is>
          <t>Beginning Stock Value + Avg Invested</t>
        </is>
      </c>
      <c r="E56" s="31" t="n"/>
      <c r="F56" s="31" t="n"/>
      <c r="G56" s="31" t="n"/>
      <c r="H56" s="31" t="n"/>
      <c r="I56" s="31" t="n"/>
    </row>
    <row r="57">
      <c r="A57" s="28" t="inlineStr"/>
      <c r="B57" s="29" t="inlineStr">
        <is>
          <t>Total Gain (Numerator)</t>
        </is>
      </c>
      <c r="C57" s="30">
        <f>C54+C52+D52</f>
        <v/>
      </c>
      <c r="D57" s="32" t="inlineStr">
        <is>
          <t>Stock Gain + Dividends + MM Interest</t>
        </is>
      </c>
      <c r="E57" s="31" t="n"/>
      <c r="F57" s="31" t="n"/>
      <c r="G57" s="31" t="n"/>
      <c r="H57" s="31" t="n"/>
      <c r="I57" s="31" t="n"/>
    </row>
    <row r="58">
      <c r="A58" s="28" t="inlineStr"/>
      <c r="B58" s="29" t="inlineStr">
        <is>
          <t>After-Tax Gain</t>
        </is>
      </c>
      <c r="C58" s="30">
        <f>C54+(C52-'Tax Impact'!C7)+(D52-'Tax Impact'!E7)</f>
        <v/>
      </c>
      <c r="D58" s="32" t="inlineStr">
        <is>
          <t>Stock Gain + (Divs-Tax) + (MMInt-Tax)</t>
        </is>
      </c>
      <c r="E58" s="31" t="n"/>
      <c r="F58" s="31" t="n"/>
      <c r="G58" s="31" t="n"/>
      <c r="H58" s="31" t="n"/>
      <c r="I58" s="31" t="n"/>
    </row>
    <row r="59">
      <c r="A59" s="28" t="inlineStr"/>
      <c r="B59" s="29" t="inlineStr">
        <is>
          <t>Pre-Tax Return</t>
        </is>
      </c>
      <c r="C59" s="33">
        <f>IF(C56&gt;0,C57/C56,0)</f>
        <v/>
      </c>
      <c r="D59" s="32" t="inlineStr">
        <is>
          <t>Total Gain / Base Capital</t>
        </is>
      </c>
      <c r="E59" s="31" t="n"/>
      <c r="F59" s="31" t="n"/>
      <c r="G59" s="31" t="n"/>
      <c r="H59" s="31" t="n"/>
      <c r="I59" s="31" t="n"/>
    </row>
    <row r="60">
      <c r="A60" s="28" t="inlineStr"/>
      <c r="B60" s="29" t="inlineStr">
        <is>
          <t>After-Tax Return</t>
        </is>
      </c>
      <c r="C60" s="33">
        <f>IF(C56&gt;0,C58/C56,0)</f>
        <v/>
      </c>
      <c r="D60" s="32" t="inlineStr">
        <is>
          <t>After-Tax Gain / Base Capital</t>
        </is>
      </c>
      <c r="E60" s="31" t="n"/>
      <c r="F60" s="31" t="n"/>
      <c r="G60" s="31" t="n"/>
      <c r="H60" s="31" t="n"/>
      <c r="I60" s="3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2026-02-15T15:25:01Z</dcterms:created>
  <dcterms:modified xsi:type="dcterms:W3CDTF">2026-02-15T15:25:01Z</dcterms:modified>
</cp:coreProperties>
</file>