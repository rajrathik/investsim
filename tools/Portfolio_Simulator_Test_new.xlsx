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Monthly Sim" sheetId="2" state="visible" r:id="rId2"/>
    <sheet name="Year Summary" sheetId="3" state="visible" r:id="rId3"/>
    <sheet name="Tax Impact" sheetId="4" state="visible" r:id="rId4"/>
    <sheet name="Annual 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00%"/>
    <numFmt numFmtId="166" formatCode="$#,##0.0000"/>
    <numFmt numFmtId="167" formatCode="#,##0.0000"/>
  </numFmts>
  <fonts count="12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b val="1"/>
      <color rgb="00475569"/>
      <sz val="10"/>
    </font>
    <font>
      <name val="Calibri"/>
      <color rgb="00334155"/>
      <sz val="10"/>
    </font>
    <font>
      <name val="Calibri"/>
      <b val="1"/>
      <color rgb="00FFFFFF"/>
      <sz val="11"/>
    </font>
    <font>
      <name val="Calibri"/>
      <color rgb="000F766E"/>
      <sz val="10"/>
    </font>
    <font>
      <name val="Calibri"/>
      <b val="1"/>
      <sz val="11"/>
    </font>
    <font>
      <name val="Calibri"/>
      <b val="1"/>
      <color rgb="00EF4444"/>
      <sz val="11"/>
    </font>
    <font>
      <b val="1"/>
      <sz val="11"/>
    </font>
    <font>
      <name val="Calibri"/>
      <i val="1"/>
      <color rgb="0064748B"/>
      <sz val="10"/>
    </font>
    <font>
      <name val="Calibri"/>
      <i val="1"/>
      <color rgb="0094A3B8"/>
      <sz val="9"/>
    </font>
    <font>
      <b val="1"/>
      <color rgb="0010B981"/>
      <sz val="11"/>
    </font>
  </fonts>
  <fills count="9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7F1D1D"/>
      </patternFill>
    </fill>
    <fill>
      <patternFill patternType="solid">
        <fgColor rgb="00F1F5F9"/>
      </patternFill>
    </fill>
    <fill>
      <patternFill patternType="solid">
        <fgColor rgb="00ECFDF5"/>
      </patternFill>
    </fill>
  </fills>
  <borders count="3">
    <border>
      <left/>
      <right/>
      <top/>
      <bottom/>
      <diagonal/>
    </border>
    <border>
      <top style="medium">
        <color rgb="001E293B"/>
      </top>
    </border>
    <border>
      <bottom style="thin">
        <color rgb="0010B98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3" fontId="3" fillId="2" borderId="0" pivotButton="0" quotePrefix="0" xfId="0"/>
    <xf numFmtId="10" fontId="3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wrapText="1"/>
    </xf>
    <xf numFmtId="0" fontId="3" fillId="4" borderId="0" pivotButton="0" quotePrefix="0" xfId="0"/>
    <xf numFmtId="165" fontId="3" fillId="4" borderId="0" pivotButton="0" quotePrefix="0" xfId="0"/>
    <xf numFmtId="164" fontId="3" fillId="4" borderId="0" pivotButton="0" quotePrefix="0" xfId="0"/>
    <xf numFmtId="166" fontId="3" fillId="4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0" fontId="4" fillId="5" borderId="0" applyAlignment="1" pivotButton="0" quotePrefix="0" xfId="0">
      <alignment horizontal="center" wrapText="1"/>
    </xf>
    <xf numFmtId="164" fontId="5" fillId="4" borderId="0" pivotButton="0" quotePrefix="0" xfId="0"/>
    <xf numFmtId="167" fontId="5" fillId="4" borderId="0" pivotButton="0" quotePrefix="0" xfId="0"/>
    <xf numFmtId="164" fontId="5" fillId="0" borderId="0" pivotButton="0" quotePrefix="0" xfId="0"/>
    <xf numFmtId="167" fontId="5" fillId="0" borderId="0" pivotButton="0" quotePrefix="0" xfId="0"/>
    <xf numFmtId="3" fontId="3" fillId="4" borderId="0" pivotButton="0" quotePrefix="0" xfId="0"/>
    <xf numFmtId="3" fontId="3" fillId="0" borderId="0" pivotButton="0" quotePrefix="0" xfId="0"/>
    <xf numFmtId="0" fontId="4" fillId="6" borderId="0" applyAlignment="1" pivotButton="0" quotePrefix="0" xfId="0">
      <alignment horizontal="center" wrapText="1"/>
    </xf>
    <xf numFmtId="0" fontId="6" fillId="0" borderId="1" pivotButton="0" quotePrefix="0" xfId="0"/>
    <xf numFmtId="164" fontId="7" fillId="0" borderId="1" pivotButton="0" quotePrefix="0" xfId="0"/>
    <xf numFmtId="3" fontId="8" fillId="8" borderId="2" pivotButton="0" quotePrefix="0" xfId="0"/>
    <xf numFmtId="164" fontId="5" fillId="8" borderId="2" pivotButton="0" quotePrefix="0" xfId="0"/>
    <xf numFmtId="10" fontId="11" fillId="8" borderId="2" pivotButton="0" quotePrefix="0" xfId="0"/>
    <xf numFmtId="0" fontId="3" fillId="7" borderId="0" pivotButton="0" quotePrefix="0" xfId="0"/>
    <xf numFmtId="0" fontId="9" fillId="7" borderId="0" pivotButton="0" quotePrefix="0" xfId="0"/>
    <xf numFmtId="164" fontId="5" fillId="7" borderId="0" pivotButton="0" quotePrefix="0" xfId="0"/>
    <xf numFmtId="0" fontId="0" fillId="7" borderId="0" pivotButton="0" quotePrefix="0" xfId="0"/>
    <xf numFmtId="0" fontId="10" fillId="7" borderId="0" pivotButton="0" quotePrefix="0" xfId="0"/>
    <xf numFmtId="1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H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Portfolio Simulator — Test Spreadsheet</t>
        </is>
      </c>
    </row>
    <row r="2"/>
    <row r="3">
      <c r="A3" s="2" t="inlineStr">
        <is>
          <t>Monthly Investment</t>
        </is>
      </c>
      <c r="B3" s="3" t="n">
        <v>1000</v>
      </c>
    </row>
    <row r="4">
      <c r="A4" s="2" t="inlineStr">
        <is>
          <t>Investment Years</t>
        </is>
      </c>
      <c r="B4" s="4" t="n">
        <v>3</v>
      </c>
    </row>
    <row r="5">
      <c r="A5" s="2" t="inlineStr">
        <is>
          <t>Tax Rate</t>
        </is>
      </c>
      <c r="B5" s="5" t="n">
        <v>0.3</v>
      </c>
    </row>
    <row r="6">
      <c r="A6" s="2" t="inlineStr">
        <is>
          <t>Total Months</t>
        </is>
      </c>
      <c r="B6" s="4" t="n">
        <v>37</v>
      </c>
    </row>
    <row r="7"/>
    <row r="8">
      <c r="A8" s="2" t="inlineStr">
        <is>
          <t>Ticker</t>
        </is>
      </c>
      <c r="B8" s="2" t="inlineStr">
        <is>
          <t>Name</t>
        </is>
      </c>
      <c r="C8" s="2" t="inlineStr">
        <is>
          <t>Allocation %</t>
        </is>
      </c>
    </row>
    <row r="9">
      <c r="A9" s="6" t="inlineStr">
        <is>
          <t>XLK</t>
        </is>
      </c>
      <c r="B9" s="6" t="inlineStr">
        <is>
          <t>Information Technology</t>
        </is>
      </c>
      <c r="C9" s="5" t="n">
        <v>0.6</v>
      </c>
    </row>
    <row r="10">
      <c r="A10" s="6" t="inlineStr">
        <is>
          <t>XLV</t>
        </is>
      </c>
      <c r="B10" s="6" t="inlineStr">
        <is>
          <t>Health Care</t>
        </is>
      </c>
      <c r="C10" s="5" t="n">
        <v>0.4</v>
      </c>
    </row>
    <row r="11"/>
    <row r="12"/>
    <row r="13">
      <c r="A13" s="7" t="inlineStr">
        <is>
          <t>Month</t>
        </is>
      </c>
      <c r="B13" s="7" t="inlineStr">
        <is>
          <t>MM Rate</t>
        </is>
      </c>
      <c r="C13" s="7" t="inlineStr">
        <is>
          <t>XLK High</t>
        </is>
      </c>
      <c r="D13" s="7" t="inlineStr">
        <is>
          <t>XLK Close</t>
        </is>
      </c>
      <c r="E13" s="7" t="inlineStr">
        <is>
          <t>XLK Div/Share</t>
        </is>
      </c>
      <c r="F13" s="7" t="inlineStr">
        <is>
          <t>XLV High</t>
        </is>
      </c>
      <c r="G13" s="7" t="inlineStr">
        <is>
          <t>XLV Close</t>
        </is>
      </c>
      <c r="H13" s="7" t="inlineStr">
        <is>
          <t>XLV Div/Share</t>
        </is>
      </c>
    </row>
    <row r="14">
      <c r="A14" s="8" t="inlineStr">
        <is>
          <t>Feb 2023</t>
        </is>
      </c>
      <c r="B14" s="9" t="n">
        <v>0.0457</v>
      </c>
      <c r="C14" s="10" t="n">
        <v>72.29499816894531</v>
      </c>
      <c r="D14" s="10" t="n">
        <v>68.26000213623047</v>
      </c>
      <c r="E14" s="11" t="n">
        <v>0</v>
      </c>
      <c r="F14" s="10" t="n">
        <v>134.8099975585938</v>
      </c>
      <c r="G14" s="10" t="n">
        <v>127.1699981689453</v>
      </c>
      <c r="H14" s="11" t="n">
        <v>0</v>
      </c>
    </row>
    <row r="15">
      <c r="A15" s="6" t="inlineStr">
        <is>
          <t>Mar 2023</t>
        </is>
      </c>
      <c r="B15" s="12" t="n">
        <v>0.04650000000000001</v>
      </c>
      <c r="C15" s="13" t="n">
        <v>75.57499694824219</v>
      </c>
      <c r="D15" s="13" t="n">
        <v>75.50499725341797</v>
      </c>
      <c r="E15" s="14" t="n">
        <v>0.158</v>
      </c>
      <c r="F15" s="13" t="n">
        <v>129.6999969482422</v>
      </c>
      <c r="G15" s="13" t="n">
        <v>129.4600067138672</v>
      </c>
      <c r="H15" s="14" t="n">
        <v>0.489</v>
      </c>
    </row>
    <row r="16">
      <c r="A16" s="8" t="inlineStr">
        <is>
          <t>Apr 2023</t>
        </is>
      </c>
      <c r="B16" s="9" t="n">
        <v>0.0483</v>
      </c>
      <c r="C16" s="10" t="n">
        <v>75.75499725341797</v>
      </c>
      <c r="D16" s="10" t="n">
        <v>75.41500091552734</v>
      </c>
      <c r="E16" s="11" t="n">
        <v>0</v>
      </c>
      <c r="F16" s="10" t="n">
        <v>135.8099975585938</v>
      </c>
      <c r="G16" s="10" t="n">
        <v>133.5299987792969</v>
      </c>
      <c r="H16" s="11" t="n">
        <v>0</v>
      </c>
    </row>
    <row r="17">
      <c r="A17" s="6" t="inlineStr">
        <is>
          <t>May 2023</t>
        </is>
      </c>
      <c r="B17" s="12" t="n">
        <v>0.0506</v>
      </c>
      <c r="C17" s="13" t="n">
        <v>84.01999664306641</v>
      </c>
      <c r="D17" s="13" t="n">
        <v>82.13999938964844</v>
      </c>
      <c r="E17" s="14" t="n">
        <v>0</v>
      </c>
      <c r="F17" s="13" t="n">
        <v>134.8999938964844</v>
      </c>
      <c r="G17" s="13" t="n">
        <v>127.8300018310547</v>
      </c>
      <c r="H17" s="14" t="n">
        <v>0</v>
      </c>
    </row>
    <row r="18">
      <c r="A18" s="8" t="inlineStr">
        <is>
          <t>Jun 2023</t>
        </is>
      </c>
      <c r="B18" s="9" t="n">
        <v>0.0508</v>
      </c>
      <c r="C18" s="10" t="n">
        <v>88.15000152587891</v>
      </c>
      <c r="D18" s="10" t="n">
        <v>86.93000030517578</v>
      </c>
      <c r="E18" s="11" t="n">
        <v>0.181</v>
      </c>
      <c r="F18" s="10" t="n">
        <v>133.25</v>
      </c>
      <c r="G18" s="10" t="n">
        <v>132.7299957275391</v>
      </c>
      <c r="H18" s="11" t="n">
        <v>0.542</v>
      </c>
    </row>
    <row r="19">
      <c r="A19" s="6" t="inlineStr">
        <is>
          <t>Jul 2023</t>
        </is>
      </c>
      <c r="B19" s="12" t="n">
        <v>0.0512</v>
      </c>
      <c r="C19" s="13" t="n">
        <v>90.73000335693359</v>
      </c>
      <c r="D19" s="13" t="n">
        <v>89.17500305175781</v>
      </c>
      <c r="E19" s="14" t="n">
        <v>0</v>
      </c>
      <c r="F19" s="13" t="n">
        <v>136.8500061035156</v>
      </c>
      <c r="G19" s="13" t="n">
        <v>134.1499938964844</v>
      </c>
      <c r="H19" s="14" t="n">
        <v>0</v>
      </c>
    </row>
    <row r="20">
      <c r="A20" s="8" t="inlineStr">
        <is>
          <t>Aug 2023</t>
        </is>
      </c>
      <c r="B20" s="9" t="n">
        <v>0.0533</v>
      </c>
      <c r="C20" s="10" t="n">
        <v>89.51499938964844</v>
      </c>
      <c r="D20" s="10" t="n">
        <v>87.83000183105469</v>
      </c>
      <c r="E20" s="11" t="n">
        <v>0</v>
      </c>
      <c r="F20" s="10" t="n">
        <v>136.5299987792969</v>
      </c>
      <c r="G20" s="10" t="n">
        <v>133.2100067138672</v>
      </c>
      <c r="H20" s="11" t="n">
        <v>0</v>
      </c>
    </row>
    <row r="21">
      <c r="A21" s="6" t="inlineStr">
        <is>
          <t>Sep 2023</t>
        </is>
      </c>
      <c r="B21" s="12" t="n">
        <v>0.0533</v>
      </c>
      <c r="C21" s="13" t="n">
        <v>88.69000244140625</v>
      </c>
      <c r="D21" s="13" t="n">
        <v>81.96499633789062</v>
      </c>
      <c r="E21" s="14" t="n">
        <v>0.18</v>
      </c>
      <c r="F21" s="13" t="n">
        <v>134.2400054931641</v>
      </c>
      <c r="G21" s="13" t="n">
        <v>128.7400054931641</v>
      </c>
      <c r="H21" s="14" t="n">
        <v>0.54</v>
      </c>
    </row>
    <row r="22">
      <c r="A22" s="8" t="inlineStr">
        <is>
          <t>Oct 2023</t>
        </is>
      </c>
      <c r="B22" s="9" t="n">
        <v>0.0533</v>
      </c>
      <c r="C22" s="10" t="n">
        <v>86.41500091552734</v>
      </c>
      <c r="D22" s="10" t="n">
        <v>82.00499725341797</v>
      </c>
      <c r="E22" s="11" t="n">
        <v>0</v>
      </c>
      <c r="F22" s="10" t="n">
        <v>131.9199981689453</v>
      </c>
      <c r="G22" s="10" t="n">
        <v>124.5400009155273</v>
      </c>
      <c r="H22" s="11" t="n">
        <v>0</v>
      </c>
    </row>
    <row r="23">
      <c r="A23" s="6" t="inlineStr">
        <is>
          <t>Nov 2023</t>
        </is>
      </c>
      <c r="B23" s="12" t="n">
        <v>0.0533</v>
      </c>
      <c r="C23" s="13" t="n">
        <v>93.44999694824219</v>
      </c>
      <c r="D23" s="13" t="n">
        <v>92.58000183105469</v>
      </c>
      <c r="E23" s="14" t="n">
        <v>0</v>
      </c>
      <c r="F23" s="13" t="n">
        <v>131.3899993896484</v>
      </c>
      <c r="G23" s="13" t="n">
        <v>131.3099975585938</v>
      </c>
      <c r="H23" s="14" t="n">
        <v>0</v>
      </c>
    </row>
    <row r="24">
      <c r="A24" s="8" t="inlineStr">
        <is>
          <t>Dec 2023</t>
        </is>
      </c>
      <c r="B24" s="9" t="n">
        <v>0.0533</v>
      </c>
      <c r="C24" s="10" t="n">
        <v>96.86000061035156</v>
      </c>
      <c r="D24" s="10" t="n">
        <v>96.23999786376953</v>
      </c>
      <c r="E24" s="11" t="n">
        <v>0.211</v>
      </c>
      <c r="F24" s="10" t="n">
        <v>136.6999969482422</v>
      </c>
      <c r="G24" s="10" t="n">
        <v>136.3800048828125</v>
      </c>
      <c r="H24" s="11" t="n">
        <v>0.598</v>
      </c>
    </row>
    <row r="25">
      <c r="A25" s="6" t="inlineStr">
        <is>
          <t>Jan 2024</t>
        </is>
      </c>
      <c r="B25" s="12" t="n">
        <v>0.0533</v>
      </c>
      <c r="C25" s="13" t="n">
        <v>103.0749969482422</v>
      </c>
      <c r="D25" s="13" t="n">
        <v>98.83999633789062</v>
      </c>
      <c r="E25" s="14" t="n">
        <v>0</v>
      </c>
      <c r="F25" s="13" t="n">
        <v>141.75</v>
      </c>
      <c r="G25" s="13" t="n">
        <v>140.3800048828125</v>
      </c>
      <c r="H25" s="14" t="n">
        <v>0</v>
      </c>
    </row>
    <row r="26">
      <c r="A26" s="8" t="inlineStr">
        <is>
          <t>Feb 2024</t>
        </is>
      </c>
      <c r="B26" s="9" t="n">
        <v>0.0533</v>
      </c>
      <c r="C26" s="10" t="n">
        <v>104.2350006103516</v>
      </c>
      <c r="D26" s="10" t="n">
        <v>103.4899978637695</v>
      </c>
      <c r="E26" s="11" t="n">
        <v>0</v>
      </c>
      <c r="F26" s="10" t="n">
        <v>148.2700042724609</v>
      </c>
      <c r="G26" s="10" t="n">
        <v>144.8200073242188</v>
      </c>
      <c r="H26" s="11" t="n">
        <v>0</v>
      </c>
    </row>
    <row r="27">
      <c r="A27" s="6" t="inlineStr">
        <is>
          <t>Mar 2024</t>
        </is>
      </c>
      <c r="B27" s="12" t="n">
        <v>0.0533</v>
      </c>
      <c r="C27" s="13" t="n">
        <v>106.1750030517578</v>
      </c>
      <c r="D27" s="13" t="n">
        <v>104.1350021362305</v>
      </c>
      <c r="E27" s="14" t="n">
        <v>0.1695</v>
      </c>
      <c r="F27" s="13" t="n">
        <v>148.2299957275391</v>
      </c>
      <c r="G27" s="13" t="n">
        <v>147.7299957275391</v>
      </c>
      <c r="H27" s="14" t="n">
        <v>0.523</v>
      </c>
    </row>
    <row r="28">
      <c r="A28" s="8" t="inlineStr">
        <is>
          <t>Apr 2024</t>
        </is>
      </c>
      <c r="B28" s="9" t="n">
        <v>0.0533</v>
      </c>
      <c r="C28" s="10" t="n">
        <v>105.0500030517578</v>
      </c>
      <c r="D28" s="10" t="n">
        <v>98.13500213623047</v>
      </c>
      <c r="E28" s="11" t="n">
        <v>0</v>
      </c>
      <c r="F28" s="10" t="n">
        <v>147.7299957275391</v>
      </c>
      <c r="G28" s="10" t="n">
        <v>140.3300018310547</v>
      </c>
      <c r="H28" s="11" t="n">
        <v>0</v>
      </c>
    </row>
    <row r="29">
      <c r="A29" s="6" t="inlineStr">
        <is>
          <t>May 2024</t>
        </is>
      </c>
      <c r="B29" s="12" t="n">
        <v>0.0533</v>
      </c>
      <c r="C29" s="13" t="n">
        <v>108.8099975585938</v>
      </c>
      <c r="D29" s="13" t="n">
        <v>105.0800018310547</v>
      </c>
      <c r="E29" s="14" t="n">
        <v>0</v>
      </c>
      <c r="F29" s="13" t="n">
        <v>146.9499969482422</v>
      </c>
      <c r="G29" s="13" t="n">
        <v>143.6999969482422</v>
      </c>
      <c r="H29" s="14" t="n">
        <v>0</v>
      </c>
    </row>
    <row r="30">
      <c r="A30" s="8" t="inlineStr">
        <is>
          <t>Jun 2024</t>
        </is>
      </c>
      <c r="B30" s="9" t="n">
        <v>0.0533</v>
      </c>
      <c r="C30" s="10" t="n">
        <v>116.2949981689453</v>
      </c>
      <c r="D30" s="10" t="n">
        <v>113.1149978637695</v>
      </c>
      <c r="E30" s="11" t="n">
        <v>0.2</v>
      </c>
      <c r="F30" s="10" t="n">
        <v>147.6100006103516</v>
      </c>
      <c r="G30" s="10" t="n">
        <v>145.75</v>
      </c>
      <c r="H30" s="11" t="n">
        <v>0.573</v>
      </c>
    </row>
    <row r="31">
      <c r="A31" s="6" t="inlineStr">
        <is>
          <t>Jul 2024</t>
        </is>
      </c>
      <c r="B31" s="12" t="n">
        <v>0.0533</v>
      </c>
      <c r="C31" s="13" t="n">
        <v>119.0699996948242</v>
      </c>
      <c r="D31" s="13" t="n">
        <v>109.4000015258789</v>
      </c>
      <c r="E31" s="14" t="n">
        <v>0</v>
      </c>
      <c r="F31" s="13" t="n">
        <v>151.5299987792969</v>
      </c>
      <c r="G31" s="13" t="n">
        <v>149.6300048828125</v>
      </c>
      <c r="H31" s="14" t="n">
        <v>0</v>
      </c>
    </row>
    <row r="32">
      <c r="A32" s="8" t="inlineStr">
        <is>
          <t>Aug 2024</t>
        </is>
      </c>
      <c r="B32" s="9" t="n">
        <v>0.0533</v>
      </c>
      <c r="C32" s="10" t="n">
        <v>113.6849975585938</v>
      </c>
      <c r="D32" s="10" t="n">
        <v>110.1650009155273</v>
      </c>
      <c r="E32" s="11" t="n">
        <v>0</v>
      </c>
      <c r="F32" s="10" t="n">
        <v>157.2799987792969</v>
      </c>
      <c r="G32" s="10" t="n">
        <v>157.1999969482422</v>
      </c>
      <c r="H32" s="11" t="n">
        <v>0</v>
      </c>
    </row>
    <row r="33">
      <c r="A33" s="6" t="inlineStr">
        <is>
          <t>Sep 2024</t>
        </is>
      </c>
      <c r="B33" s="12" t="n">
        <v>0.0513</v>
      </c>
      <c r="C33" s="13" t="n">
        <v>217.4400024414062</v>
      </c>
      <c r="D33" s="13" t="n">
        <v>112.879997253418</v>
      </c>
      <c r="E33" s="14" t="n">
        <v>0.1995</v>
      </c>
      <c r="F33" s="13" t="n">
        <v>159.6399993896484</v>
      </c>
      <c r="G33" s="13" t="n">
        <v>154.0200042724609</v>
      </c>
      <c r="H33" s="14" t="n">
        <v>0.577</v>
      </c>
    </row>
    <row r="34">
      <c r="A34" s="8" t="inlineStr">
        <is>
          <t>Oct 2024</t>
        </is>
      </c>
      <c r="B34" s="9" t="n">
        <v>0.0483</v>
      </c>
      <c r="C34" s="10" t="n">
        <v>117.2850036621094</v>
      </c>
      <c r="D34" s="10" t="n">
        <v>111.120002746582</v>
      </c>
      <c r="E34" s="11" t="n">
        <v>0</v>
      </c>
      <c r="F34" s="10" t="n">
        <v>155.0099945068359</v>
      </c>
      <c r="G34" s="10" t="n">
        <v>146.8699951171875</v>
      </c>
      <c r="H34" s="11" t="n">
        <v>0</v>
      </c>
    </row>
    <row r="35">
      <c r="A35" s="6" t="inlineStr">
        <is>
          <t>Nov 2024</t>
        </is>
      </c>
      <c r="B35" s="12" t="n">
        <v>0.0464</v>
      </c>
      <c r="C35" s="13" t="n">
        <v>118.9700012207031</v>
      </c>
      <c r="D35" s="13" t="n">
        <v>116.8649978637695</v>
      </c>
      <c r="E35" s="14" t="n">
        <v>0</v>
      </c>
      <c r="F35" s="13" t="n">
        <v>150.9499969482422</v>
      </c>
      <c r="G35" s="13" t="n">
        <v>147.4100036621094</v>
      </c>
      <c r="H35" s="14" t="n">
        <v>0</v>
      </c>
    </row>
    <row r="36">
      <c r="A36" s="8" t="inlineStr">
        <is>
          <t>Dec 2024</t>
        </is>
      </c>
      <c r="B36" s="9" t="n">
        <v>0.04480000000000001</v>
      </c>
      <c r="C36" s="10" t="n">
        <v>120.9400024414062</v>
      </c>
      <c r="D36" s="10" t="n">
        <v>116.2600021362305</v>
      </c>
      <c r="E36" s="11" t="n">
        <v>0.193</v>
      </c>
      <c r="F36" s="10" t="n">
        <v>147.5800018310547</v>
      </c>
      <c r="G36" s="10" t="n">
        <v>137.5700073242188</v>
      </c>
      <c r="H36" s="11" t="n">
        <v>0.622</v>
      </c>
    </row>
    <row r="37">
      <c r="A37" s="6" t="inlineStr">
        <is>
          <t>Jan 2025</t>
        </is>
      </c>
      <c r="B37" s="12" t="n">
        <v>0.0433</v>
      </c>
      <c r="C37" s="13" t="n">
        <v>121.2900009155273</v>
      </c>
      <c r="D37" s="13" t="n">
        <v>115.4049987792969</v>
      </c>
      <c r="E37" s="14" t="n">
        <v>0</v>
      </c>
      <c r="F37" s="13" t="n">
        <v>148.5899963378906</v>
      </c>
      <c r="G37" s="13" t="n">
        <v>146.8699951171875</v>
      </c>
      <c r="H37" s="14" t="n">
        <v>0</v>
      </c>
    </row>
    <row r="38">
      <c r="A38" s="8" t="inlineStr">
        <is>
          <t>Feb 2025</t>
        </is>
      </c>
      <c r="B38" s="9" t="n">
        <v>0.0433</v>
      </c>
      <c r="C38" s="10" t="n">
        <v>121.5699996948242</v>
      </c>
      <c r="D38" s="10" t="n">
        <v>112.7649993896484</v>
      </c>
      <c r="E38" s="11" t="n">
        <v>0</v>
      </c>
      <c r="F38" s="10" t="n">
        <v>149.1600036621094</v>
      </c>
      <c r="G38" s="10" t="n">
        <v>148.9299926757812</v>
      </c>
      <c r="H38" s="11" t="n">
        <v>0</v>
      </c>
    </row>
    <row r="39">
      <c r="A39" s="6" t="inlineStr">
        <is>
          <t>Mar 2025</t>
        </is>
      </c>
      <c r="B39" s="12" t="n">
        <v>0.0433</v>
      </c>
      <c r="C39" s="13" t="n">
        <v>113.5749969482422</v>
      </c>
      <c r="D39" s="13" t="n">
        <v>103.2399978637695</v>
      </c>
      <c r="E39" s="14" t="n">
        <v>0.1875</v>
      </c>
      <c r="F39" s="13" t="n">
        <v>150.3200073242188</v>
      </c>
      <c r="G39" s="13" t="n">
        <v>146.0099945068359</v>
      </c>
      <c r="H39" s="14" t="n">
        <v>0.5649999999999999</v>
      </c>
    </row>
    <row r="40">
      <c r="A40" s="8" t="inlineStr">
        <is>
          <t>Apr 2025</t>
        </is>
      </c>
      <c r="B40" s="9" t="n">
        <v>0.0433</v>
      </c>
      <c r="C40" s="10" t="n">
        <v>105.629997253418</v>
      </c>
      <c r="D40" s="10" t="n">
        <v>104.9850006103516</v>
      </c>
      <c r="E40" s="11" t="n">
        <v>0</v>
      </c>
      <c r="F40" s="10" t="n">
        <v>145.4799957275391</v>
      </c>
      <c r="G40" s="10" t="n">
        <v>140.4700012207031</v>
      </c>
      <c r="H40" s="11" t="n">
        <v>0</v>
      </c>
    </row>
    <row r="41">
      <c r="A41" s="6" t="inlineStr">
        <is>
          <t>May 2025</t>
        </is>
      </c>
      <c r="B41" s="12" t="n">
        <v>0.0433</v>
      </c>
      <c r="C41" s="13" t="n">
        <v>117.8850021362305</v>
      </c>
      <c r="D41" s="13" t="n">
        <v>115.4550018310547</v>
      </c>
      <c r="E41" s="14" t="n">
        <v>0</v>
      </c>
      <c r="F41" s="13" t="n">
        <v>139.1100006103516</v>
      </c>
      <c r="G41" s="13" t="n">
        <v>132.6399993896484</v>
      </c>
      <c r="H41" s="14" t="n">
        <v>0</v>
      </c>
    </row>
    <row r="42">
      <c r="A42" s="8" t="inlineStr">
        <is>
          <t>Jun 2025</t>
        </is>
      </c>
      <c r="B42" s="9" t="n">
        <v>0.0433</v>
      </c>
      <c r="C42" s="10" t="n">
        <v>126.9599990844727</v>
      </c>
      <c r="D42" s="10" t="n">
        <v>126.6149978637695</v>
      </c>
      <c r="E42" s="11" t="n">
        <v>0.199</v>
      </c>
      <c r="F42" s="10" t="n">
        <v>137.3300018310547</v>
      </c>
      <c r="G42" s="10" t="n">
        <v>134.7899932861328</v>
      </c>
      <c r="H42" s="11" t="n">
        <v>0.63</v>
      </c>
    </row>
    <row r="43">
      <c r="A43" s="6" t="inlineStr">
        <is>
          <t>Jul 2025</t>
        </is>
      </c>
      <c r="B43" s="12" t="n">
        <v>0.0433</v>
      </c>
      <c r="C43" s="13" t="n">
        <v>134.0050048828125</v>
      </c>
      <c r="D43" s="13" t="n">
        <v>131.3699951171875</v>
      </c>
      <c r="E43" s="14" t="n">
        <v>0</v>
      </c>
      <c r="F43" s="13" t="n">
        <v>137.7599945068359</v>
      </c>
      <c r="G43" s="13" t="n">
        <v>130.4299926757812</v>
      </c>
      <c r="H43" s="14" t="n">
        <v>0</v>
      </c>
    </row>
    <row r="44">
      <c r="A44" s="8" t="inlineStr">
        <is>
          <t>Aug 2025</t>
        </is>
      </c>
      <c r="B44" s="9" t="n">
        <v>0.0433</v>
      </c>
      <c r="C44" s="10" t="n">
        <v>135.0249938964844</v>
      </c>
      <c r="D44" s="10" t="n">
        <v>131.2250061035156</v>
      </c>
      <c r="E44" s="11" t="n">
        <v>0</v>
      </c>
      <c r="F44" s="10" t="n">
        <v>139.0200042724609</v>
      </c>
      <c r="G44" s="10" t="n">
        <v>137.4299926757812</v>
      </c>
      <c r="H44" s="11" t="n">
        <v>0</v>
      </c>
    </row>
    <row r="45">
      <c r="A45" s="6" t="inlineStr">
        <is>
          <t>Sep 2025</t>
        </is>
      </c>
      <c r="B45" s="12" t="n">
        <v>0.04219999999999999</v>
      </c>
      <c r="C45" s="13" t="n">
        <v>141.4450073242188</v>
      </c>
      <c r="D45" s="13" t="n">
        <v>140.9299926757812</v>
      </c>
      <c r="E45" s="14" t="n">
        <v>0.179</v>
      </c>
      <c r="F45" s="13" t="n">
        <v>140</v>
      </c>
      <c r="G45" s="13" t="n">
        <v>139.1699981689453</v>
      </c>
      <c r="H45" s="14" t="n">
        <v>0.625</v>
      </c>
    </row>
    <row r="46">
      <c r="A46" s="8" t="inlineStr">
        <is>
          <t>Oct 2025</t>
        </is>
      </c>
      <c r="B46" s="9" t="n">
        <v>0.0409</v>
      </c>
      <c r="C46" s="10" t="n">
        <v>152.9949951171875</v>
      </c>
      <c r="D46" s="10" t="n">
        <v>150.3399963378906</v>
      </c>
      <c r="E46" s="11" t="n">
        <v>0</v>
      </c>
      <c r="F46" s="10" t="n">
        <v>146.7599945068359</v>
      </c>
      <c r="G46" s="10" t="n">
        <v>144.25</v>
      </c>
      <c r="H46" s="11" t="n">
        <v>0</v>
      </c>
    </row>
    <row r="47">
      <c r="A47" s="6" t="inlineStr">
        <is>
          <t>Nov 2025</t>
        </is>
      </c>
      <c r="B47" s="12" t="n">
        <v>0.0388</v>
      </c>
      <c r="C47" s="13" t="n">
        <v>152.1100006103516</v>
      </c>
      <c r="D47" s="13" t="n">
        <v>143.1100006103516</v>
      </c>
      <c r="E47" s="14" t="n">
        <v>0</v>
      </c>
      <c r="F47" s="13" t="n">
        <v>158.9499969482422</v>
      </c>
      <c r="G47" s="13" t="n">
        <v>157.6499938964844</v>
      </c>
      <c r="H47" s="14" t="n">
        <v>0</v>
      </c>
    </row>
    <row r="48">
      <c r="A48" s="8" t="inlineStr">
        <is>
          <t>Dec 2025</t>
        </is>
      </c>
      <c r="B48" s="9" t="n">
        <v>0.0372</v>
      </c>
      <c r="C48" s="10" t="n">
        <v>149.2200012207031</v>
      </c>
      <c r="D48" s="10" t="n">
        <v>143.9700012207031</v>
      </c>
      <c r="E48" s="11" t="n">
        <v>0.219</v>
      </c>
      <c r="F48" s="10" t="n">
        <v>157.8600006103516</v>
      </c>
      <c r="G48" s="10" t="n">
        <v>154.8000030517578</v>
      </c>
      <c r="H48" s="11" t="n">
        <v>0.657</v>
      </c>
    </row>
    <row r="49">
      <c r="A49" s="6" t="inlineStr">
        <is>
          <t>Jan 2026</t>
        </is>
      </c>
      <c r="B49" s="12" t="n">
        <v>0.0364</v>
      </c>
      <c r="C49" s="13" t="n">
        <v>149.8999938964844</v>
      </c>
      <c r="D49" s="13" t="n">
        <v>143.8800048828125</v>
      </c>
      <c r="E49" s="14" t="n">
        <v>0</v>
      </c>
      <c r="F49" s="13" t="n">
        <v>160.5899963378906</v>
      </c>
      <c r="G49" s="13" t="n">
        <v>154.7400054931641</v>
      </c>
      <c r="H49" s="14" t="n">
        <v>0</v>
      </c>
    </row>
    <row r="50">
      <c r="A50" s="8" t="inlineStr">
        <is>
          <t>Feb 2026</t>
        </is>
      </c>
      <c r="B50" s="9" t="n">
        <v>0</v>
      </c>
      <c r="C50" s="10" t="n">
        <v>146.1499938964844</v>
      </c>
      <c r="D50" s="10" t="n">
        <v>141.1300048828125</v>
      </c>
      <c r="E50" s="11" t="n">
        <v>0</v>
      </c>
      <c r="F50" s="10" t="n">
        <v>157.8000030517578</v>
      </c>
      <c r="G50" s="10" t="n">
        <v>157.7100067138672</v>
      </c>
      <c r="H50" s="11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19" customWidth="1" min="5" max="5"/>
    <col width="22" customWidth="1" min="6" max="6"/>
    <col width="22" customWidth="1" min="7" max="7"/>
    <col width="16" customWidth="1" min="8" max="8"/>
    <col width="16" customWidth="1" min="9" max="9"/>
    <col width="16" customWidth="1" min="10" max="10"/>
    <col width="22" customWidth="1" min="11" max="11"/>
    <col width="22" customWidth="1" min="12" max="12"/>
    <col width="16" customWidth="1" min="13" max="13"/>
    <col width="16" customWidth="1" min="14" max="14"/>
    <col width="16" customWidth="1" min="15" max="15"/>
    <col width="14" customWidth="1" min="16" max="16"/>
    <col width="13" customWidth="1" min="17" max="17"/>
    <col width="14" customWidth="1" min="18" max="18"/>
    <col width="17" customWidth="1" min="19" max="19"/>
    <col width="22" customWidth="1" min="20" max="20"/>
  </cols>
  <sheetData>
    <row r="1">
      <c r="A1" s="15" t="inlineStr">
        <is>
          <t>Month</t>
        </is>
      </c>
      <c r="B1" s="15" t="inlineStr">
        <is>
          <t>MM Rate</t>
        </is>
      </c>
      <c r="C1" s="15" t="inlineStr">
        <is>
          <t>Prior Div Bal</t>
        </is>
      </c>
      <c r="D1" s="15" t="inlineStr">
        <is>
          <t>MM Interest</t>
        </is>
      </c>
      <c r="E1" s="15" t="inlineStr">
        <is>
          <t>Div Bal After Int</t>
        </is>
      </c>
      <c r="F1" s="15" t="inlineStr">
        <is>
          <t>XLK Invested</t>
        </is>
      </c>
      <c r="G1" s="15" t="inlineStr">
        <is>
          <t>XLK Shares</t>
        </is>
      </c>
      <c r="H1" s="15" t="inlineStr">
        <is>
          <t>XLK Cum Shares</t>
        </is>
      </c>
      <c r="I1" s="15" t="inlineStr">
        <is>
          <t>XLK Divs</t>
        </is>
      </c>
      <c r="J1" s="15" t="inlineStr">
        <is>
          <t>XLK Value</t>
        </is>
      </c>
      <c r="K1" s="15" t="inlineStr">
        <is>
          <t>XLV Invested</t>
        </is>
      </c>
      <c r="L1" s="15" t="inlineStr">
        <is>
          <t>XLV Shares</t>
        </is>
      </c>
      <c r="M1" s="15" t="inlineStr">
        <is>
          <t>XLV Cum Shares</t>
        </is>
      </c>
      <c r="N1" s="15" t="inlineStr">
        <is>
          <t>XLV Divs</t>
        </is>
      </c>
      <c r="O1" s="15" t="inlineStr">
        <is>
          <t>XLV Value</t>
        </is>
      </c>
      <c r="P1" s="15" t="inlineStr">
        <is>
          <t>Monthly Divs</t>
        </is>
      </c>
      <c r="Q1" s="15" t="inlineStr">
        <is>
          <t>Div Bal End</t>
        </is>
      </c>
      <c r="R1" s="15" t="inlineStr">
        <is>
          <t>Cum Invested</t>
        </is>
      </c>
      <c r="S1" s="15" t="inlineStr">
        <is>
          <t>Portfolio Value</t>
        </is>
      </c>
      <c r="T1" s="15" t="inlineStr">
        <is>
          <t>MM-Only Bal</t>
        </is>
      </c>
    </row>
    <row r="2">
      <c r="A2" s="8">
        <f>Setup!A14</f>
        <v/>
      </c>
      <c r="B2" s="9">
        <f>Setup!B14</f>
        <v/>
      </c>
      <c r="C2" s="10" t="n">
        <v>0</v>
      </c>
      <c r="D2" s="16">
        <f>ROUND(C2*B2/12,2)</f>
        <v/>
      </c>
      <c r="E2" s="16">
        <f>C2+D2</f>
        <v/>
      </c>
      <c r="F2" s="16">
        <f>Setup!$B$3*Setup!$C$9</f>
        <v/>
      </c>
      <c r="G2" s="17">
        <f>IF(Setup!C14&gt;0,F2/Setup!C14,0)</f>
        <v/>
      </c>
      <c r="H2" s="17">
        <f>G2</f>
        <v/>
      </c>
      <c r="I2" s="16">
        <f>H2*Setup!E14</f>
        <v/>
      </c>
      <c r="J2" s="16">
        <f>H2*Setup!D14</f>
        <v/>
      </c>
      <c r="K2" s="16">
        <f>Setup!$B$3*Setup!$C$10</f>
        <v/>
      </c>
      <c r="L2" s="17">
        <f>IF(Setup!F14&gt;0,K2/Setup!F14,0)</f>
        <v/>
      </c>
      <c r="M2" s="17">
        <f>L2</f>
        <v/>
      </c>
      <c r="N2" s="16">
        <f>M2*Setup!H14</f>
        <v/>
      </c>
      <c r="O2" s="16">
        <f>M2*Setup!G14</f>
        <v/>
      </c>
      <c r="P2" s="16">
        <f>I2+N2</f>
        <v/>
      </c>
      <c r="Q2" s="16">
        <f>E2+P2</f>
        <v/>
      </c>
      <c r="R2" s="16">
        <f>F2+K2</f>
        <v/>
      </c>
      <c r="S2" s="16">
        <f>J2+O2</f>
        <v/>
      </c>
      <c r="T2" s="16">
        <f>ROUND(0*(1+B2/12),2)+Setup!$B$3</f>
        <v/>
      </c>
    </row>
    <row r="3">
      <c r="A3" s="6">
        <f>Setup!A15</f>
        <v/>
      </c>
      <c r="B3" s="12">
        <f>Setup!B15</f>
        <v/>
      </c>
      <c r="C3" s="13">
        <f>Q2</f>
        <v/>
      </c>
      <c r="D3" s="18">
        <f>ROUND(C3*B3/12,2)</f>
        <v/>
      </c>
      <c r="E3" s="18">
        <f>C3+D3</f>
        <v/>
      </c>
      <c r="F3" s="18">
        <f>Setup!$B$3*Setup!$C$9</f>
        <v/>
      </c>
      <c r="G3" s="19">
        <f>IF(Setup!C15&gt;0,F3/Setup!C15,0)</f>
        <v/>
      </c>
      <c r="H3" s="19">
        <f>H2+G3</f>
        <v/>
      </c>
      <c r="I3" s="18">
        <f>H3*Setup!E15</f>
        <v/>
      </c>
      <c r="J3" s="18">
        <f>H3*Setup!D15</f>
        <v/>
      </c>
      <c r="K3" s="18">
        <f>Setup!$B$3*Setup!$C$10</f>
        <v/>
      </c>
      <c r="L3" s="19">
        <f>IF(Setup!F15&gt;0,K3/Setup!F15,0)</f>
        <v/>
      </c>
      <c r="M3" s="19">
        <f>M2+L3</f>
        <v/>
      </c>
      <c r="N3" s="18">
        <f>M3*Setup!H15</f>
        <v/>
      </c>
      <c r="O3" s="18">
        <f>M3*Setup!G15</f>
        <v/>
      </c>
      <c r="P3" s="18">
        <f>I3+N3</f>
        <v/>
      </c>
      <c r="Q3" s="18">
        <f>E3+P3</f>
        <v/>
      </c>
      <c r="R3" s="18">
        <f>R2+F3+K3</f>
        <v/>
      </c>
      <c r="S3" s="18">
        <f>J3+O3</f>
        <v/>
      </c>
      <c r="T3" s="18">
        <f>ROUND(T2*(1+B3/12),2)+Setup!$B$3</f>
        <v/>
      </c>
    </row>
    <row r="4">
      <c r="A4" s="8">
        <f>Setup!A16</f>
        <v/>
      </c>
      <c r="B4" s="9">
        <f>Setup!B16</f>
        <v/>
      </c>
      <c r="C4" s="10">
        <f>Q3</f>
        <v/>
      </c>
      <c r="D4" s="16">
        <f>ROUND(C4*B4/12,2)</f>
        <v/>
      </c>
      <c r="E4" s="16">
        <f>C4+D4</f>
        <v/>
      </c>
      <c r="F4" s="16">
        <f>Setup!$B$3*Setup!$C$9</f>
        <v/>
      </c>
      <c r="G4" s="17">
        <f>IF(Setup!C16&gt;0,F4/Setup!C16,0)</f>
        <v/>
      </c>
      <c r="H4" s="17">
        <f>H3+G4</f>
        <v/>
      </c>
      <c r="I4" s="16">
        <f>H4*Setup!E16</f>
        <v/>
      </c>
      <c r="J4" s="16">
        <f>H4*Setup!D16</f>
        <v/>
      </c>
      <c r="K4" s="16">
        <f>Setup!$B$3*Setup!$C$10</f>
        <v/>
      </c>
      <c r="L4" s="17">
        <f>IF(Setup!F16&gt;0,K4/Setup!F16,0)</f>
        <v/>
      </c>
      <c r="M4" s="17">
        <f>M3+L4</f>
        <v/>
      </c>
      <c r="N4" s="16">
        <f>M4*Setup!H16</f>
        <v/>
      </c>
      <c r="O4" s="16">
        <f>M4*Setup!G16</f>
        <v/>
      </c>
      <c r="P4" s="16">
        <f>I4+N4</f>
        <v/>
      </c>
      <c r="Q4" s="16">
        <f>E4+P4</f>
        <v/>
      </c>
      <c r="R4" s="16">
        <f>R3+F4+K4</f>
        <v/>
      </c>
      <c r="S4" s="16">
        <f>J4+O4</f>
        <v/>
      </c>
      <c r="T4" s="16">
        <f>ROUND(T3*(1+B4/12),2)+Setup!$B$3</f>
        <v/>
      </c>
    </row>
    <row r="5">
      <c r="A5" s="6">
        <f>Setup!A17</f>
        <v/>
      </c>
      <c r="B5" s="12">
        <f>Setup!B17</f>
        <v/>
      </c>
      <c r="C5" s="13">
        <f>Q4</f>
        <v/>
      </c>
      <c r="D5" s="18">
        <f>ROUND(C5*B5/12,2)</f>
        <v/>
      </c>
      <c r="E5" s="18">
        <f>C5+D5</f>
        <v/>
      </c>
      <c r="F5" s="18">
        <f>Setup!$B$3*Setup!$C$9</f>
        <v/>
      </c>
      <c r="G5" s="19">
        <f>IF(Setup!C17&gt;0,F5/Setup!C17,0)</f>
        <v/>
      </c>
      <c r="H5" s="19">
        <f>H4+G5</f>
        <v/>
      </c>
      <c r="I5" s="18">
        <f>H5*Setup!E17</f>
        <v/>
      </c>
      <c r="J5" s="18">
        <f>H5*Setup!D17</f>
        <v/>
      </c>
      <c r="K5" s="18">
        <f>Setup!$B$3*Setup!$C$10</f>
        <v/>
      </c>
      <c r="L5" s="19">
        <f>IF(Setup!F17&gt;0,K5/Setup!F17,0)</f>
        <v/>
      </c>
      <c r="M5" s="19">
        <f>M4+L5</f>
        <v/>
      </c>
      <c r="N5" s="18">
        <f>M5*Setup!H17</f>
        <v/>
      </c>
      <c r="O5" s="18">
        <f>M5*Setup!G17</f>
        <v/>
      </c>
      <c r="P5" s="18">
        <f>I5+N5</f>
        <v/>
      </c>
      <c r="Q5" s="18">
        <f>E5+P5</f>
        <v/>
      </c>
      <c r="R5" s="18">
        <f>R4+F5+K5</f>
        <v/>
      </c>
      <c r="S5" s="18">
        <f>J5+O5</f>
        <v/>
      </c>
      <c r="T5" s="18">
        <f>ROUND(T4*(1+B5/12),2)+Setup!$B$3</f>
        <v/>
      </c>
    </row>
    <row r="6">
      <c r="A6" s="8">
        <f>Setup!A18</f>
        <v/>
      </c>
      <c r="B6" s="9">
        <f>Setup!B18</f>
        <v/>
      </c>
      <c r="C6" s="10">
        <f>Q5</f>
        <v/>
      </c>
      <c r="D6" s="16">
        <f>ROUND(C6*B6/12,2)</f>
        <v/>
      </c>
      <c r="E6" s="16">
        <f>C6+D6</f>
        <v/>
      </c>
      <c r="F6" s="16">
        <f>Setup!$B$3*Setup!$C$9</f>
        <v/>
      </c>
      <c r="G6" s="17">
        <f>IF(Setup!C18&gt;0,F6/Setup!C18,0)</f>
        <v/>
      </c>
      <c r="H6" s="17">
        <f>H5+G6</f>
        <v/>
      </c>
      <c r="I6" s="16">
        <f>H6*Setup!E18</f>
        <v/>
      </c>
      <c r="J6" s="16">
        <f>H6*Setup!D18</f>
        <v/>
      </c>
      <c r="K6" s="16">
        <f>Setup!$B$3*Setup!$C$10</f>
        <v/>
      </c>
      <c r="L6" s="17">
        <f>IF(Setup!F18&gt;0,K6/Setup!F18,0)</f>
        <v/>
      </c>
      <c r="M6" s="17">
        <f>M5+L6</f>
        <v/>
      </c>
      <c r="N6" s="16">
        <f>M6*Setup!H18</f>
        <v/>
      </c>
      <c r="O6" s="16">
        <f>M6*Setup!G18</f>
        <v/>
      </c>
      <c r="P6" s="16">
        <f>I6+N6</f>
        <v/>
      </c>
      <c r="Q6" s="16">
        <f>E6+P6</f>
        <v/>
      </c>
      <c r="R6" s="16">
        <f>R5+F6+K6</f>
        <v/>
      </c>
      <c r="S6" s="16">
        <f>J6+O6</f>
        <v/>
      </c>
      <c r="T6" s="16">
        <f>ROUND(T5*(1+B6/12),2)+Setup!$B$3</f>
        <v/>
      </c>
    </row>
    <row r="7">
      <c r="A7" s="6">
        <f>Setup!A19</f>
        <v/>
      </c>
      <c r="B7" s="12">
        <f>Setup!B19</f>
        <v/>
      </c>
      <c r="C7" s="13">
        <f>Q6</f>
        <v/>
      </c>
      <c r="D7" s="18">
        <f>ROUND(C7*B7/12,2)</f>
        <v/>
      </c>
      <c r="E7" s="18">
        <f>C7+D7</f>
        <v/>
      </c>
      <c r="F7" s="18">
        <f>Setup!$B$3*Setup!$C$9</f>
        <v/>
      </c>
      <c r="G7" s="19">
        <f>IF(Setup!C19&gt;0,F7/Setup!C19,0)</f>
        <v/>
      </c>
      <c r="H7" s="19">
        <f>H6+G7</f>
        <v/>
      </c>
      <c r="I7" s="18">
        <f>H7*Setup!E19</f>
        <v/>
      </c>
      <c r="J7" s="18">
        <f>H7*Setup!D19</f>
        <v/>
      </c>
      <c r="K7" s="18">
        <f>Setup!$B$3*Setup!$C$10</f>
        <v/>
      </c>
      <c r="L7" s="19">
        <f>IF(Setup!F19&gt;0,K7/Setup!F19,0)</f>
        <v/>
      </c>
      <c r="M7" s="19">
        <f>M6+L7</f>
        <v/>
      </c>
      <c r="N7" s="18">
        <f>M7*Setup!H19</f>
        <v/>
      </c>
      <c r="O7" s="18">
        <f>M7*Setup!G19</f>
        <v/>
      </c>
      <c r="P7" s="18">
        <f>I7+N7</f>
        <v/>
      </c>
      <c r="Q7" s="18">
        <f>E7+P7</f>
        <v/>
      </c>
      <c r="R7" s="18">
        <f>R6+F7+K7</f>
        <v/>
      </c>
      <c r="S7" s="18">
        <f>J7+O7</f>
        <v/>
      </c>
      <c r="T7" s="18">
        <f>ROUND(T6*(1+B7/12),2)+Setup!$B$3</f>
        <v/>
      </c>
    </row>
    <row r="8">
      <c r="A8" s="8">
        <f>Setup!A20</f>
        <v/>
      </c>
      <c r="B8" s="9">
        <f>Setup!B20</f>
        <v/>
      </c>
      <c r="C8" s="10">
        <f>Q7</f>
        <v/>
      </c>
      <c r="D8" s="16">
        <f>ROUND(C8*B8/12,2)</f>
        <v/>
      </c>
      <c r="E8" s="16">
        <f>C8+D8</f>
        <v/>
      </c>
      <c r="F8" s="16">
        <f>Setup!$B$3*Setup!$C$9</f>
        <v/>
      </c>
      <c r="G8" s="17">
        <f>IF(Setup!C20&gt;0,F8/Setup!C20,0)</f>
        <v/>
      </c>
      <c r="H8" s="17">
        <f>H7+G8</f>
        <v/>
      </c>
      <c r="I8" s="16">
        <f>H8*Setup!E20</f>
        <v/>
      </c>
      <c r="J8" s="16">
        <f>H8*Setup!D20</f>
        <v/>
      </c>
      <c r="K8" s="16">
        <f>Setup!$B$3*Setup!$C$10</f>
        <v/>
      </c>
      <c r="L8" s="17">
        <f>IF(Setup!F20&gt;0,K8/Setup!F20,0)</f>
        <v/>
      </c>
      <c r="M8" s="17">
        <f>M7+L8</f>
        <v/>
      </c>
      <c r="N8" s="16">
        <f>M8*Setup!H20</f>
        <v/>
      </c>
      <c r="O8" s="16">
        <f>M8*Setup!G20</f>
        <v/>
      </c>
      <c r="P8" s="16">
        <f>I8+N8</f>
        <v/>
      </c>
      <c r="Q8" s="16">
        <f>E8+P8</f>
        <v/>
      </c>
      <c r="R8" s="16">
        <f>R7+F8+K8</f>
        <v/>
      </c>
      <c r="S8" s="16">
        <f>J8+O8</f>
        <v/>
      </c>
      <c r="T8" s="16">
        <f>ROUND(T7*(1+B8/12),2)+Setup!$B$3</f>
        <v/>
      </c>
    </row>
    <row r="9">
      <c r="A9" s="6">
        <f>Setup!A21</f>
        <v/>
      </c>
      <c r="B9" s="12">
        <f>Setup!B21</f>
        <v/>
      </c>
      <c r="C9" s="13">
        <f>Q8</f>
        <v/>
      </c>
      <c r="D9" s="18">
        <f>ROUND(C9*B9/12,2)</f>
        <v/>
      </c>
      <c r="E9" s="18">
        <f>C9+D9</f>
        <v/>
      </c>
      <c r="F9" s="18">
        <f>Setup!$B$3*Setup!$C$9</f>
        <v/>
      </c>
      <c r="G9" s="19">
        <f>IF(Setup!C21&gt;0,F9/Setup!C21,0)</f>
        <v/>
      </c>
      <c r="H9" s="19">
        <f>H8+G9</f>
        <v/>
      </c>
      <c r="I9" s="18">
        <f>H9*Setup!E21</f>
        <v/>
      </c>
      <c r="J9" s="18">
        <f>H9*Setup!D21</f>
        <v/>
      </c>
      <c r="K9" s="18">
        <f>Setup!$B$3*Setup!$C$10</f>
        <v/>
      </c>
      <c r="L9" s="19">
        <f>IF(Setup!F21&gt;0,K9/Setup!F21,0)</f>
        <v/>
      </c>
      <c r="M9" s="19">
        <f>M8+L9</f>
        <v/>
      </c>
      <c r="N9" s="18">
        <f>M9*Setup!H21</f>
        <v/>
      </c>
      <c r="O9" s="18">
        <f>M9*Setup!G21</f>
        <v/>
      </c>
      <c r="P9" s="18">
        <f>I9+N9</f>
        <v/>
      </c>
      <c r="Q9" s="18">
        <f>E9+P9</f>
        <v/>
      </c>
      <c r="R9" s="18">
        <f>R8+F9+K9</f>
        <v/>
      </c>
      <c r="S9" s="18">
        <f>J9+O9</f>
        <v/>
      </c>
      <c r="T9" s="18">
        <f>ROUND(T8*(1+B9/12),2)+Setup!$B$3</f>
        <v/>
      </c>
    </row>
    <row r="10">
      <c r="A10" s="8">
        <f>Setup!A22</f>
        <v/>
      </c>
      <c r="B10" s="9">
        <f>Setup!B22</f>
        <v/>
      </c>
      <c r="C10" s="10">
        <f>Q9</f>
        <v/>
      </c>
      <c r="D10" s="16">
        <f>ROUND(C10*B10/12,2)</f>
        <v/>
      </c>
      <c r="E10" s="16">
        <f>C10+D10</f>
        <v/>
      </c>
      <c r="F10" s="16">
        <f>Setup!$B$3*Setup!$C$9</f>
        <v/>
      </c>
      <c r="G10" s="17">
        <f>IF(Setup!C22&gt;0,F10/Setup!C22,0)</f>
        <v/>
      </c>
      <c r="H10" s="17">
        <f>H9+G10</f>
        <v/>
      </c>
      <c r="I10" s="16">
        <f>H10*Setup!E22</f>
        <v/>
      </c>
      <c r="J10" s="16">
        <f>H10*Setup!D22</f>
        <v/>
      </c>
      <c r="K10" s="16">
        <f>Setup!$B$3*Setup!$C$10</f>
        <v/>
      </c>
      <c r="L10" s="17">
        <f>IF(Setup!F22&gt;0,K10/Setup!F22,0)</f>
        <v/>
      </c>
      <c r="M10" s="17">
        <f>M9+L10</f>
        <v/>
      </c>
      <c r="N10" s="16">
        <f>M10*Setup!H22</f>
        <v/>
      </c>
      <c r="O10" s="16">
        <f>M10*Setup!G22</f>
        <v/>
      </c>
      <c r="P10" s="16">
        <f>I10+N10</f>
        <v/>
      </c>
      <c r="Q10" s="16">
        <f>E10+P10</f>
        <v/>
      </c>
      <c r="R10" s="16">
        <f>R9+F10+K10</f>
        <v/>
      </c>
      <c r="S10" s="16">
        <f>J10+O10</f>
        <v/>
      </c>
      <c r="T10" s="16">
        <f>ROUND(T9*(1+B10/12),2)+Setup!$B$3</f>
        <v/>
      </c>
    </row>
    <row r="11">
      <c r="A11" s="6">
        <f>Setup!A23</f>
        <v/>
      </c>
      <c r="B11" s="12">
        <f>Setup!B23</f>
        <v/>
      </c>
      <c r="C11" s="13">
        <f>Q10</f>
        <v/>
      </c>
      <c r="D11" s="18">
        <f>ROUND(C11*B11/12,2)</f>
        <v/>
      </c>
      <c r="E11" s="18">
        <f>C11+D11</f>
        <v/>
      </c>
      <c r="F11" s="18">
        <f>Setup!$B$3*Setup!$C$9</f>
        <v/>
      </c>
      <c r="G11" s="19">
        <f>IF(Setup!C23&gt;0,F11/Setup!C23,0)</f>
        <v/>
      </c>
      <c r="H11" s="19">
        <f>H10+G11</f>
        <v/>
      </c>
      <c r="I11" s="18">
        <f>H11*Setup!E23</f>
        <v/>
      </c>
      <c r="J11" s="18">
        <f>H11*Setup!D23</f>
        <v/>
      </c>
      <c r="K11" s="18">
        <f>Setup!$B$3*Setup!$C$10</f>
        <v/>
      </c>
      <c r="L11" s="19">
        <f>IF(Setup!F23&gt;0,K11/Setup!F23,0)</f>
        <v/>
      </c>
      <c r="M11" s="19">
        <f>M10+L11</f>
        <v/>
      </c>
      <c r="N11" s="18">
        <f>M11*Setup!H23</f>
        <v/>
      </c>
      <c r="O11" s="18">
        <f>M11*Setup!G23</f>
        <v/>
      </c>
      <c r="P11" s="18">
        <f>I11+N11</f>
        <v/>
      </c>
      <c r="Q11" s="18">
        <f>E11+P11</f>
        <v/>
      </c>
      <c r="R11" s="18">
        <f>R10+F11+K11</f>
        <v/>
      </c>
      <c r="S11" s="18">
        <f>J11+O11</f>
        <v/>
      </c>
      <c r="T11" s="18">
        <f>ROUND(T10*(1+B11/12),2)+Setup!$B$3</f>
        <v/>
      </c>
    </row>
    <row r="12">
      <c r="A12" s="8">
        <f>Setup!A24</f>
        <v/>
      </c>
      <c r="B12" s="9">
        <f>Setup!B24</f>
        <v/>
      </c>
      <c r="C12" s="10">
        <f>Q11</f>
        <v/>
      </c>
      <c r="D12" s="16">
        <f>ROUND(C12*B12/12,2)</f>
        <v/>
      </c>
      <c r="E12" s="16">
        <f>C12+D12</f>
        <v/>
      </c>
      <c r="F12" s="16">
        <f>Setup!$B$3*Setup!$C$9</f>
        <v/>
      </c>
      <c r="G12" s="17">
        <f>IF(Setup!C24&gt;0,F12/Setup!C24,0)</f>
        <v/>
      </c>
      <c r="H12" s="17">
        <f>H11+G12</f>
        <v/>
      </c>
      <c r="I12" s="16">
        <f>H12*Setup!E24</f>
        <v/>
      </c>
      <c r="J12" s="16">
        <f>H12*Setup!D24</f>
        <v/>
      </c>
      <c r="K12" s="16">
        <f>Setup!$B$3*Setup!$C$10</f>
        <v/>
      </c>
      <c r="L12" s="17">
        <f>IF(Setup!F24&gt;0,K12/Setup!F24,0)</f>
        <v/>
      </c>
      <c r="M12" s="17">
        <f>M11+L12</f>
        <v/>
      </c>
      <c r="N12" s="16">
        <f>M12*Setup!H24</f>
        <v/>
      </c>
      <c r="O12" s="16">
        <f>M12*Setup!G24</f>
        <v/>
      </c>
      <c r="P12" s="16">
        <f>I12+N12</f>
        <v/>
      </c>
      <c r="Q12" s="16">
        <f>E12+P12</f>
        <v/>
      </c>
      <c r="R12" s="16">
        <f>R11+F12+K12</f>
        <v/>
      </c>
      <c r="S12" s="16">
        <f>J12+O12</f>
        <v/>
      </c>
      <c r="T12" s="16">
        <f>ROUND(T11*(1+B12/12),2)+Setup!$B$3</f>
        <v/>
      </c>
    </row>
    <row r="13">
      <c r="A13" s="6">
        <f>Setup!A25</f>
        <v/>
      </c>
      <c r="B13" s="12">
        <f>Setup!B25</f>
        <v/>
      </c>
      <c r="C13" s="13">
        <f>Q12</f>
        <v/>
      </c>
      <c r="D13" s="18">
        <f>ROUND(C13*B13/12,2)</f>
        <v/>
      </c>
      <c r="E13" s="18">
        <f>C13+D13</f>
        <v/>
      </c>
      <c r="F13" s="18">
        <f>Setup!$B$3*Setup!$C$9</f>
        <v/>
      </c>
      <c r="G13" s="19">
        <f>IF(Setup!C25&gt;0,F13/Setup!C25,0)</f>
        <v/>
      </c>
      <c r="H13" s="19">
        <f>H12+G13</f>
        <v/>
      </c>
      <c r="I13" s="18">
        <f>H13*Setup!E25</f>
        <v/>
      </c>
      <c r="J13" s="18">
        <f>H13*Setup!D25</f>
        <v/>
      </c>
      <c r="K13" s="18">
        <f>Setup!$B$3*Setup!$C$10</f>
        <v/>
      </c>
      <c r="L13" s="19">
        <f>IF(Setup!F25&gt;0,K13/Setup!F25,0)</f>
        <v/>
      </c>
      <c r="M13" s="19">
        <f>M12+L13</f>
        <v/>
      </c>
      <c r="N13" s="18">
        <f>M13*Setup!H25</f>
        <v/>
      </c>
      <c r="O13" s="18">
        <f>M13*Setup!G25</f>
        <v/>
      </c>
      <c r="P13" s="18">
        <f>I13+N13</f>
        <v/>
      </c>
      <c r="Q13" s="18">
        <f>E13+P13</f>
        <v/>
      </c>
      <c r="R13" s="18">
        <f>R12+F13+K13</f>
        <v/>
      </c>
      <c r="S13" s="18">
        <f>J13+O13</f>
        <v/>
      </c>
      <c r="T13" s="18">
        <f>ROUND(T12*(1+B13/12),2)+Setup!$B$3</f>
        <v/>
      </c>
    </row>
    <row r="14">
      <c r="A14" s="8">
        <f>Setup!A26</f>
        <v/>
      </c>
      <c r="B14" s="9">
        <f>Setup!B26</f>
        <v/>
      </c>
      <c r="C14" s="10">
        <f>Q13</f>
        <v/>
      </c>
      <c r="D14" s="16">
        <f>ROUND(C14*B14/12,2)</f>
        <v/>
      </c>
      <c r="E14" s="16">
        <f>C14+D14</f>
        <v/>
      </c>
      <c r="F14" s="16">
        <f>Setup!$B$3*Setup!$C$9</f>
        <v/>
      </c>
      <c r="G14" s="17">
        <f>IF(Setup!C26&gt;0,F14/Setup!C26,0)</f>
        <v/>
      </c>
      <c r="H14" s="17">
        <f>H13+G14</f>
        <v/>
      </c>
      <c r="I14" s="16">
        <f>H14*Setup!E26</f>
        <v/>
      </c>
      <c r="J14" s="16">
        <f>H14*Setup!D26</f>
        <v/>
      </c>
      <c r="K14" s="16">
        <f>Setup!$B$3*Setup!$C$10</f>
        <v/>
      </c>
      <c r="L14" s="17">
        <f>IF(Setup!F26&gt;0,K14/Setup!F26,0)</f>
        <v/>
      </c>
      <c r="M14" s="17">
        <f>M13+L14</f>
        <v/>
      </c>
      <c r="N14" s="16">
        <f>M14*Setup!H26</f>
        <v/>
      </c>
      <c r="O14" s="16">
        <f>M14*Setup!G26</f>
        <v/>
      </c>
      <c r="P14" s="16">
        <f>I14+N14</f>
        <v/>
      </c>
      <c r="Q14" s="16">
        <f>E14+P14</f>
        <v/>
      </c>
      <c r="R14" s="16">
        <f>R13+F14+K14</f>
        <v/>
      </c>
      <c r="S14" s="16">
        <f>J14+O14</f>
        <v/>
      </c>
      <c r="T14" s="16">
        <f>ROUND(T13*(1+B14/12),2)+Setup!$B$3</f>
        <v/>
      </c>
    </row>
    <row r="15">
      <c r="A15" s="6">
        <f>Setup!A27</f>
        <v/>
      </c>
      <c r="B15" s="12">
        <f>Setup!B27</f>
        <v/>
      </c>
      <c r="C15" s="13">
        <f>Q14</f>
        <v/>
      </c>
      <c r="D15" s="18">
        <f>ROUND(C15*B15/12,2)</f>
        <v/>
      </c>
      <c r="E15" s="18">
        <f>C15+D15</f>
        <v/>
      </c>
      <c r="F15" s="18">
        <f>Setup!$B$3*Setup!$C$9</f>
        <v/>
      </c>
      <c r="G15" s="19">
        <f>IF(Setup!C27&gt;0,F15/Setup!C27,0)</f>
        <v/>
      </c>
      <c r="H15" s="19">
        <f>H14+G15</f>
        <v/>
      </c>
      <c r="I15" s="18">
        <f>H15*Setup!E27</f>
        <v/>
      </c>
      <c r="J15" s="18">
        <f>H15*Setup!D27</f>
        <v/>
      </c>
      <c r="K15" s="18">
        <f>Setup!$B$3*Setup!$C$10</f>
        <v/>
      </c>
      <c r="L15" s="19">
        <f>IF(Setup!F27&gt;0,K15/Setup!F27,0)</f>
        <v/>
      </c>
      <c r="M15" s="19">
        <f>M14+L15</f>
        <v/>
      </c>
      <c r="N15" s="18">
        <f>M15*Setup!H27</f>
        <v/>
      </c>
      <c r="O15" s="18">
        <f>M15*Setup!G27</f>
        <v/>
      </c>
      <c r="P15" s="18">
        <f>I15+N15</f>
        <v/>
      </c>
      <c r="Q15" s="18">
        <f>E15+P15</f>
        <v/>
      </c>
      <c r="R15" s="18">
        <f>R14+F15+K15</f>
        <v/>
      </c>
      <c r="S15" s="18">
        <f>J15+O15</f>
        <v/>
      </c>
      <c r="T15" s="18">
        <f>ROUND(T14*(1+B15/12),2)+Setup!$B$3</f>
        <v/>
      </c>
    </row>
    <row r="16">
      <c r="A16" s="8">
        <f>Setup!A28</f>
        <v/>
      </c>
      <c r="B16" s="9">
        <f>Setup!B28</f>
        <v/>
      </c>
      <c r="C16" s="10">
        <f>Q15</f>
        <v/>
      </c>
      <c r="D16" s="16">
        <f>ROUND(C16*B16/12,2)</f>
        <v/>
      </c>
      <c r="E16" s="16">
        <f>C16+D16</f>
        <v/>
      </c>
      <c r="F16" s="16">
        <f>Setup!$B$3*Setup!$C$9</f>
        <v/>
      </c>
      <c r="G16" s="17">
        <f>IF(Setup!C28&gt;0,F16/Setup!C28,0)</f>
        <v/>
      </c>
      <c r="H16" s="17">
        <f>H15+G16</f>
        <v/>
      </c>
      <c r="I16" s="16">
        <f>H16*Setup!E28</f>
        <v/>
      </c>
      <c r="J16" s="16">
        <f>H16*Setup!D28</f>
        <v/>
      </c>
      <c r="K16" s="16">
        <f>Setup!$B$3*Setup!$C$10</f>
        <v/>
      </c>
      <c r="L16" s="17">
        <f>IF(Setup!F28&gt;0,K16/Setup!F28,0)</f>
        <v/>
      </c>
      <c r="M16" s="17">
        <f>M15+L16</f>
        <v/>
      </c>
      <c r="N16" s="16">
        <f>M16*Setup!H28</f>
        <v/>
      </c>
      <c r="O16" s="16">
        <f>M16*Setup!G28</f>
        <v/>
      </c>
      <c r="P16" s="16">
        <f>I16+N16</f>
        <v/>
      </c>
      <c r="Q16" s="16">
        <f>E16+P16</f>
        <v/>
      </c>
      <c r="R16" s="16">
        <f>R15+F16+K16</f>
        <v/>
      </c>
      <c r="S16" s="16">
        <f>J16+O16</f>
        <v/>
      </c>
      <c r="T16" s="16">
        <f>ROUND(T15*(1+B16/12),2)+Setup!$B$3</f>
        <v/>
      </c>
    </row>
    <row r="17">
      <c r="A17" s="6">
        <f>Setup!A29</f>
        <v/>
      </c>
      <c r="B17" s="12">
        <f>Setup!B29</f>
        <v/>
      </c>
      <c r="C17" s="13">
        <f>Q16</f>
        <v/>
      </c>
      <c r="D17" s="18">
        <f>ROUND(C17*B17/12,2)</f>
        <v/>
      </c>
      <c r="E17" s="18">
        <f>C17+D17</f>
        <v/>
      </c>
      <c r="F17" s="18">
        <f>Setup!$B$3*Setup!$C$9</f>
        <v/>
      </c>
      <c r="G17" s="19">
        <f>IF(Setup!C29&gt;0,F17/Setup!C29,0)</f>
        <v/>
      </c>
      <c r="H17" s="19">
        <f>H16+G17</f>
        <v/>
      </c>
      <c r="I17" s="18">
        <f>H17*Setup!E29</f>
        <v/>
      </c>
      <c r="J17" s="18">
        <f>H17*Setup!D29</f>
        <v/>
      </c>
      <c r="K17" s="18">
        <f>Setup!$B$3*Setup!$C$10</f>
        <v/>
      </c>
      <c r="L17" s="19">
        <f>IF(Setup!F29&gt;0,K17/Setup!F29,0)</f>
        <v/>
      </c>
      <c r="M17" s="19">
        <f>M16+L17</f>
        <v/>
      </c>
      <c r="N17" s="18">
        <f>M17*Setup!H29</f>
        <v/>
      </c>
      <c r="O17" s="18">
        <f>M17*Setup!G29</f>
        <v/>
      </c>
      <c r="P17" s="18">
        <f>I17+N17</f>
        <v/>
      </c>
      <c r="Q17" s="18">
        <f>E17+P17</f>
        <v/>
      </c>
      <c r="R17" s="18">
        <f>R16+F17+K17</f>
        <v/>
      </c>
      <c r="S17" s="18">
        <f>J17+O17</f>
        <v/>
      </c>
      <c r="T17" s="18">
        <f>ROUND(T16*(1+B17/12),2)+Setup!$B$3</f>
        <v/>
      </c>
    </row>
    <row r="18">
      <c r="A18" s="8">
        <f>Setup!A30</f>
        <v/>
      </c>
      <c r="B18" s="9">
        <f>Setup!B30</f>
        <v/>
      </c>
      <c r="C18" s="10">
        <f>Q17</f>
        <v/>
      </c>
      <c r="D18" s="16">
        <f>ROUND(C18*B18/12,2)</f>
        <v/>
      </c>
      <c r="E18" s="16">
        <f>C18+D18</f>
        <v/>
      </c>
      <c r="F18" s="16">
        <f>Setup!$B$3*Setup!$C$9</f>
        <v/>
      </c>
      <c r="G18" s="17">
        <f>IF(Setup!C30&gt;0,F18/Setup!C30,0)</f>
        <v/>
      </c>
      <c r="H18" s="17">
        <f>H17+G18</f>
        <v/>
      </c>
      <c r="I18" s="16">
        <f>H18*Setup!E30</f>
        <v/>
      </c>
      <c r="J18" s="16">
        <f>H18*Setup!D30</f>
        <v/>
      </c>
      <c r="K18" s="16">
        <f>Setup!$B$3*Setup!$C$10</f>
        <v/>
      </c>
      <c r="L18" s="17">
        <f>IF(Setup!F30&gt;0,K18/Setup!F30,0)</f>
        <v/>
      </c>
      <c r="M18" s="17">
        <f>M17+L18</f>
        <v/>
      </c>
      <c r="N18" s="16">
        <f>M18*Setup!H30</f>
        <v/>
      </c>
      <c r="O18" s="16">
        <f>M18*Setup!G30</f>
        <v/>
      </c>
      <c r="P18" s="16">
        <f>I18+N18</f>
        <v/>
      </c>
      <c r="Q18" s="16">
        <f>E18+P18</f>
        <v/>
      </c>
      <c r="R18" s="16">
        <f>R17+F18+K18</f>
        <v/>
      </c>
      <c r="S18" s="16">
        <f>J18+O18</f>
        <v/>
      </c>
      <c r="T18" s="16">
        <f>ROUND(T17*(1+B18/12),2)+Setup!$B$3</f>
        <v/>
      </c>
    </row>
    <row r="19">
      <c r="A19" s="6">
        <f>Setup!A31</f>
        <v/>
      </c>
      <c r="B19" s="12">
        <f>Setup!B31</f>
        <v/>
      </c>
      <c r="C19" s="13">
        <f>Q18</f>
        <v/>
      </c>
      <c r="D19" s="18">
        <f>ROUND(C19*B19/12,2)</f>
        <v/>
      </c>
      <c r="E19" s="18">
        <f>C19+D19</f>
        <v/>
      </c>
      <c r="F19" s="18">
        <f>Setup!$B$3*Setup!$C$9</f>
        <v/>
      </c>
      <c r="G19" s="19">
        <f>IF(Setup!C31&gt;0,F19/Setup!C31,0)</f>
        <v/>
      </c>
      <c r="H19" s="19">
        <f>H18+G19</f>
        <v/>
      </c>
      <c r="I19" s="18">
        <f>H19*Setup!E31</f>
        <v/>
      </c>
      <c r="J19" s="18">
        <f>H19*Setup!D31</f>
        <v/>
      </c>
      <c r="K19" s="18">
        <f>Setup!$B$3*Setup!$C$10</f>
        <v/>
      </c>
      <c r="L19" s="19">
        <f>IF(Setup!F31&gt;0,K19/Setup!F31,0)</f>
        <v/>
      </c>
      <c r="M19" s="19">
        <f>M18+L19</f>
        <v/>
      </c>
      <c r="N19" s="18">
        <f>M19*Setup!H31</f>
        <v/>
      </c>
      <c r="O19" s="18">
        <f>M19*Setup!G31</f>
        <v/>
      </c>
      <c r="P19" s="18">
        <f>I19+N19</f>
        <v/>
      </c>
      <c r="Q19" s="18">
        <f>E19+P19</f>
        <v/>
      </c>
      <c r="R19" s="18">
        <f>R18+F19+K19</f>
        <v/>
      </c>
      <c r="S19" s="18">
        <f>J19+O19</f>
        <v/>
      </c>
      <c r="T19" s="18">
        <f>ROUND(T18*(1+B19/12),2)+Setup!$B$3</f>
        <v/>
      </c>
    </row>
    <row r="20">
      <c r="A20" s="8">
        <f>Setup!A32</f>
        <v/>
      </c>
      <c r="B20" s="9">
        <f>Setup!B32</f>
        <v/>
      </c>
      <c r="C20" s="10">
        <f>Q19</f>
        <v/>
      </c>
      <c r="D20" s="16">
        <f>ROUND(C20*B20/12,2)</f>
        <v/>
      </c>
      <c r="E20" s="16">
        <f>C20+D20</f>
        <v/>
      </c>
      <c r="F20" s="16">
        <f>Setup!$B$3*Setup!$C$9</f>
        <v/>
      </c>
      <c r="G20" s="17">
        <f>IF(Setup!C32&gt;0,F20/Setup!C32,0)</f>
        <v/>
      </c>
      <c r="H20" s="17">
        <f>H19+G20</f>
        <v/>
      </c>
      <c r="I20" s="16">
        <f>H20*Setup!E32</f>
        <v/>
      </c>
      <c r="J20" s="16">
        <f>H20*Setup!D32</f>
        <v/>
      </c>
      <c r="K20" s="16">
        <f>Setup!$B$3*Setup!$C$10</f>
        <v/>
      </c>
      <c r="L20" s="17">
        <f>IF(Setup!F32&gt;0,K20/Setup!F32,0)</f>
        <v/>
      </c>
      <c r="M20" s="17">
        <f>M19+L20</f>
        <v/>
      </c>
      <c r="N20" s="16">
        <f>M20*Setup!H32</f>
        <v/>
      </c>
      <c r="O20" s="16">
        <f>M20*Setup!G32</f>
        <v/>
      </c>
      <c r="P20" s="16">
        <f>I20+N20</f>
        <v/>
      </c>
      <c r="Q20" s="16">
        <f>E20+P20</f>
        <v/>
      </c>
      <c r="R20" s="16">
        <f>R19+F20+K20</f>
        <v/>
      </c>
      <c r="S20" s="16">
        <f>J20+O20</f>
        <v/>
      </c>
      <c r="T20" s="16">
        <f>ROUND(T19*(1+B20/12),2)+Setup!$B$3</f>
        <v/>
      </c>
    </row>
    <row r="21">
      <c r="A21" s="6">
        <f>Setup!A33</f>
        <v/>
      </c>
      <c r="B21" s="12">
        <f>Setup!B33</f>
        <v/>
      </c>
      <c r="C21" s="13">
        <f>Q20</f>
        <v/>
      </c>
      <c r="D21" s="18">
        <f>ROUND(C21*B21/12,2)</f>
        <v/>
      </c>
      <c r="E21" s="18">
        <f>C21+D21</f>
        <v/>
      </c>
      <c r="F21" s="18">
        <f>Setup!$B$3*Setup!$C$9</f>
        <v/>
      </c>
      <c r="G21" s="19">
        <f>IF(Setup!C33&gt;0,F21/Setup!C33,0)</f>
        <v/>
      </c>
      <c r="H21" s="19">
        <f>H20+G21</f>
        <v/>
      </c>
      <c r="I21" s="18">
        <f>H21*Setup!E33</f>
        <v/>
      </c>
      <c r="J21" s="18">
        <f>H21*Setup!D33</f>
        <v/>
      </c>
      <c r="K21" s="18">
        <f>Setup!$B$3*Setup!$C$10</f>
        <v/>
      </c>
      <c r="L21" s="19">
        <f>IF(Setup!F33&gt;0,K21/Setup!F33,0)</f>
        <v/>
      </c>
      <c r="M21" s="19">
        <f>M20+L21</f>
        <v/>
      </c>
      <c r="N21" s="18">
        <f>M21*Setup!H33</f>
        <v/>
      </c>
      <c r="O21" s="18">
        <f>M21*Setup!G33</f>
        <v/>
      </c>
      <c r="P21" s="18">
        <f>I21+N21</f>
        <v/>
      </c>
      <c r="Q21" s="18">
        <f>E21+P21</f>
        <v/>
      </c>
      <c r="R21" s="18">
        <f>R20+F21+K21</f>
        <v/>
      </c>
      <c r="S21" s="18">
        <f>J21+O21</f>
        <v/>
      </c>
      <c r="T21" s="18">
        <f>ROUND(T20*(1+B21/12),2)+Setup!$B$3</f>
        <v/>
      </c>
    </row>
    <row r="22">
      <c r="A22" s="8">
        <f>Setup!A34</f>
        <v/>
      </c>
      <c r="B22" s="9">
        <f>Setup!B34</f>
        <v/>
      </c>
      <c r="C22" s="10">
        <f>Q21</f>
        <v/>
      </c>
      <c r="D22" s="16">
        <f>ROUND(C22*B22/12,2)</f>
        <v/>
      </c>
      <c r="E22" s="16">
        <f>C22+D22</f>
        <v/>
      </c>
      <c r="F22" s="16">
        <f>Setup!$B$3*Setup!$C$9</f>
        <v/>
      </c>
      <c r="G22" s="17">
        <f>IF(Setup!C34&gt;0,F22/Setup!C34,0)</f>
        <v/>
      </c>
      <c r="H22" s="17">
        <f>H21+G22</f>
        <v/>
      </c>
      <c r="I22" s="16">
        <f>H22*Setup!E34</f>
        <v/>
      </c>
      <c r="J22" s="16">
        <f>H22*Setup!D34</f>
        <v/>
      </c>
      <c r="K22" s="16">
        <f>Setup!$B$3*Setup!$C$10</f>
        <v/>
      </c>
      <c r="L22" s="17">
        <f>IF(Setup!F34&gt;0,K22/Setup!F34,0)</f>
        <v/>
      </c>
      <c r="M22" s="17">
        <f>M21+L22</f>
        <v/>
      </c>
      <c r="N22" s="16">
        <f>M22*Setup!H34</f>
        <v/>
      </c>
      <c r="O22" s="16">
        <f>M22*Setup!G34</f>
        <v/>
      </c>
      <c r="P22" s="16">
        <f>I22+N22</f>
        <v/>
      </c>
      <c r="Q22" s="16">
        <f>E22+P22</f>
        <v/>
      </c>
      <c r="R22" s="16">
        <f>R21+F22+K22</f>
        <v/>
      </c>
      <c r="S22" s="16">
        <f>J22+O22</f>
        <v/>
      </c>
      <c r="T22" s="16">
        <f>ROUND(T21*(1+B22/12),2)+Setup!$B$3</f>
        <v/>
      </c>
    </row>
    <row r="23">
      <c r="A23" s="6">
        <f>Setup!A35</f>
        <v/>
      </c>
      <c r="B23" s="12">
        <f>Setup!B35</f>
        <v/>
      </c>
      <c r="C23" s="13">
        <f>Q22</f>
        <v/>
      </c>
      <c r="D23" s="18">
        <f>ROUND(C23*B23/12,2)</f>
        <v/>
      </c>
      <c r="E23" s="18">
        <f>C23+D23</f>
        <v/>
      </c>
      <c r="F23" s="18">
        <f>Setup!$B$3*Setup!$C$9</f>
        <v/>
      </c>
      <c r="G23" s="19">
        <f>IF(Setup!C35&gt;0,F23/Setup!C35,0)</f>
        <v/>
      </c>
      <c r="H23" s="19">
        <f>H22+G23</f>
        <v/>
      </c>
      <c r="I23" s="18">
        <f>H23*Setup!E35</f>
        <v/>
      </c>
      <c r="J23" s="18">
        <f>H23*Setup!D35</f>
        <v/>
      </c>
      <c r="K23" s="18">
        <f>Setup!$B$3*Setup!$C$10</f>
        <v/>
      </c>
      <c r="L23" s="19">
        <f>IF(Setup!F35&gt;0,K23/Setup!F35,0)</f>
        <v/>
      </c>
      <c r="M23" s="19">
        <f>M22+L23</f>
        <v/>
      </c>
      <c r="N23" s="18">
        <f>M23*Setup!H35</f>
        <v/>
      </c>
      <c r="O23" s="18">
        <f>M23*Setup!G35</f>
        <v/>
      </c>
      <c r="P23" s="18">
        <f>I23+N23</f>
        <v/>
      </c>
      <c r="Q23" s="18">
        <f>E23+P23</f>
        <v/>
      </c>
      <c r="R23" s="18">
        <f>R22+F23+K23</f>
        <v/>
      </c>
      <c r="S23" s="18">
        <f>J23+O23</f>
        <v/>
      </c>
      <c r="T23" s="18">
        <f>ROUND(T22*(1+B23/12),2)+Setup!$B$3</f>
        <v/>
      </c>
    </row>
    <row r="24">
      <c r="A24" s="8">
        <f>Setup!A36</f>
        <v/>
      </c>
      <c r="B24" s="9">
        <f>Setup!B36</f>
        <v/>
      </c>
      <c r="C24" s="10">
        <f>Q23</f>
        <v/>
      </c>
      <c r="D24" s="16">
        <f>ROUND(C24*B24/12,2)</f>
        <v/>
      </c>
      <c r="E24" s="16">
        <f>C24+D24</f>
        <v/>
      </c>
      <c r="F24" s="16">
        <f>Setup!$B$3*Setup!$C$9</f>
        <v/>
      </c>
      <c r="G24" s="17">
        <f>IF(Setup!C36&gt;0,F24/Setup!C36,0)</f>
        <v/>
      </c>
      <c r="H24" s="17">
        <f>H23+G24</f>
        <v/>
      </c>
      <c r="I24" s="16">
        <f>H24*Setup!E36</f>
        <v/>
      </c>
      <c r="J24" s="16">
        <f>H24*Setup!D36</f>
        <v/>
      </c>
      <c r="K24" s="16">
        <f>Setup!$B$3*Setup!$C$10</f>
        <v/>
      </c>
      <c r="L24" s="17">
        <f>IF(Setup!F36&gt;0,K24/Setup!F36,0)</f>
        <v/>
      </c>
      <c r="M24" s="17">
        <f>M23+L24</f>
        <v/>
      </c>
      <c r="N24" s="16">
        <f>M24*Setup!H36</f>
        <v/>
      </c>
      <c r="O24" s="16">
        <f>M24*Setup!G36</f>
        <v/>
      </c>
      <c r="P24" s="16">
        <f>I24+N24</f>
        <v/>
      </c>
      <c r="Q24" s="16">
        <f>E24+P24</f>
        <v/>
      </c>
      <c r="R24" s="16">
        <f>R23+F24+K24</f>
        <v/>
      </c>
      <c r="S24" s="16">
        <f>J24+O24</f>
        <v/>
      </c>
      <c r="T24" s="16">
        <f>ROUND(T23*(1+B24/12),2)+Setup!$B$3</f>
        <v/>
      </c>
    </row>
    <row r="25">
      <c r="A25" s="6">
        <f>Setup!A37</f>
        <v/>
      </c>
      <c r="B25" s="12">
        <f>Setup!B37</f>
        <v/>
      </c>
      <c r="C25" s="13">
        <f>Q24</f>
        <v/>
      </c>
      <c r="D25" s="18">
        <f>ROUND(C25*B25/12,2)</f>
        <v/>
      </c>
      <c r="E25" s="18">
        <f>C25+D25</f>
        <v/>
      </c>
      <c r="F25" s="18">
        <f>Setup!$B$3*Setup!$C$9</f>
        <v/>
      </c>
      <c r="G25" s="19">
        <f>IF(Setup!C37&gt;0,F25/Setup!C37,0)</f>
        <v/>
      </c>
      <c r="H25" s="19">
        <f>H24+G25</f>
        <v/>
      </c>
      <c r="I25" s="18">
        <f>H25*Setup!E37</f>
        <v/>
      </c>
      <c r="J25" s="18">
        <f>H25*Setup!D37</f>
        <v/>
      </c>
      <c r="K25" s="18">
        <f>Setup!$B$3*Setup!$C$10</f>
        <v/>
      </c>
      <c r="L25" s="19">
        <f>IF(Setup!F37&gt;0,K25/Setup!F37,0)</f>
        <v/>
      </c>
      <c r="M25" s="19">
        <f>M24+L25</f>
        <v/>
      </c>
      <c r="N25" s="18">
        <f>M25*Setup!H37</f>
        <v/>
      </c>
      <c r="O25" s="18">
        <f>M25*Setup!G37</f>
        <v/>
      </c>
      <c r="P25" s="18">
        <f>I25+N25</f>
        <v/>
      </c>
      <c r="Q25" s="18">
        <f>E25+P25</f>
        <v/>
      </c>
      <c r="R25" s="18">
        <f>R24+F25+K25</f>
        <v/>
      </c>
      <c r="S25" s="18">
        <f>J25+O25</f>
        <v/>
      </c>
      <c r="T25" s="18">
        <f>ROUND(T24*(1+B25/12),2)+Setup!$B$3</f>
        <v/>
      </c>
    </row>
    <row r="26">
      <c r="A26" s="8">
        <f>Setup!A38</f>
        <v/>
      </c>
      <c r="B26" s="9">
        <f>Setup!B38</f>
        <v/>
      </c>
      <c r="C26" s="10">
        <f>Q25</f>
        <v/>
      </c>
      <c r="D26" s="16">
        <f>ROUND(C26*B26/12,2)</f>
        <v/>
      </c>
      <c r="E26" s="16">
        <f>C26+D26</f>
        <v/>
      </c>
      <c r="F26" s="16">
        <f>Setup!$B$3*Setup!$C$9</f>
        <v/>
      </c>
      <c r="G26" s="17">
        <f>IF(Setup!C38&gt;0,F26/Setup!C38,0)</f>
        <v/>
      </c>
      <c r="H26" s="17">
        <f>H25+G26</f>
        <v/>
      </c>
      <c r="I26" s="16">
        <f>H26*Setup!E38</f>
        <v/>
      </c>
      <c r="J26" s="16">
        <f>H26*Setup!D38</f>
        <v/>
      </c>
      <c r="K26" s="16">
        <f>Setup!$B$3*Setup!$C$10</f>
        <v/>
      </c>
      <c r="L26" s="17">
        <f>IF(Setup!F38&gt;0,K26/Setup!F38,0)</f>
        <v/>
      </c>
      <c r="M26" s="17">
        <f>M25+L26</f>
        <v/>
      </c>
      <c r="N26" s="16">
        <f>M26*Setup!H38</f>
        <v/>
      </c>
      <c r="O26" s="16">
        <f>M26*Setup!G38</f>
        <v/>
      </c>
      <c r="P26" s="16">
        <f>I26+N26</f>
        <v/>
      </c>
      <c r="Q26" s="16">
        <f>E26+P26</f>
        <v/>
      </c>
      <c r="R26" s="16">
        <f>R25+F26+K26</f>
        <v/>
      </c>
      <c r="S26" s="16">
        <f>J26+O26</f>
        <v/>
      </c>
      <c r="T26" s="16">
        <f>ROUND(T25*(1+B26/12),2)+Setup!$B$3</f>
        <v/>
      </c>
    </row>
    <row r="27">
      <c r="A27" s="6">
        <f>Setup!A39</f>
        <v/>
      </c>
      <c r="B27" s="12">
        <f>Setup!B39</f>
        <v/>
      </c>
      <c r="C27" s="13">
        <f>Q26</f>
        <v/>
      </c>
      <c r="D27" s="18">
        <f>ROUND(C27*B27/12,2)</f>
        <v/>
      </c>
      <c r="E27" s="18">
        <f>C27+D27</f>
        <v/>
      </c>
      <c r="F27" s="18">
        <f>Setup!$B$3*Setup!$C$9</f>
        <v/>
      </c>
      <c r="G27" s="19">
        <f>IF(Setup!C39&gt;0,F27/Setup!C39,0)</f>
        <v/>
      </c>
      <c r="H27" s="19">
        <f>H26+G27</f>
        <v/>
      </c>
      <c r="I27" s="18">
        <f>H27*Setup!E39</f>
        <v/>
      </c>
      <c r="J27" s="18">
        <f>H27*Setup!D39</f>
        <v/>
      </c>
      <c r="K27" s="18">
        <f>Setup!$B$3*Setup!$C$10</f>
        <v/>
      </c>
      <c r="L27" s="19">
        <f>IF(Setup!F39&gt;0,K27/Setup!F39,0)</f>
        <v/>
      </c>
      <c r="M27" s="19">
        <f>M26+L27</f>
        <v/>
      </c>
      <c r="N27" s="18">
        <f>M27*Setup!H39</f>
        <v/>
      </c>
      <c r="O27" s="18">
        <f>M27*Setup!G39</f>
        <v/>
      </c>
      <c r="P27" s="18">
        <f>I27+N27</f>
        <v/>
      </c>
      <c r="Q27" s="18">
        <f>E27+P27</f>
        <v/>
      </c>
      <c r="R27" s="18">
        <f>R26+F27+K27</f>
        <v/>
      </c>
      <c r="S27" s="18">
        <f>J27+O27</f>
        <v/>
      </c>
      <c r="T27" s="18">
        <f>ROUND(T26*(1+B27/12),2)+Setup!$B$3</f>
        <v/>
      </c>
    </row>
    <row r="28">
      <c r="A28" s="8">
        <f>Setup!A40</f>
        <v/>
      </c>
      <c r="B28" s="9">
        <f>Setup!B40</f>
        <v/>
      </c>
      <c r="C28" s="10">
        <f>Q27</f>
        <v/>
      </c>
      <c r="D28" s="16">
        <f>ROUND(C28*B28/12,2)</f>
        <v/>
      </c>
      <c r="E28" s="16">
        <f>C28+D28</f>
        <v/>
      </c>
      <c r="F28" s="16">
        <f>Setup!$B$3*Setup!$C$9</f>
        <v/>
      </c>
      <c r="G28" s="17">
        <f>IF(Setup!C40&gt;0,F28/Setup!C40,0)</f>
        <v/>
      </c>
      <c r="H28" s="17">
        <f>H27+G28</f>
        <v/>
      </c>
      <c r="I28" s="16">
        <f>H28*Setup!E40</f>
        <v/>
      </c>
      <c r="J28" s="16">
        <f>H28*Setup!D40</f>
        <v/>
      </c>
      <c r="K28" s="16">
        <f>Setup!$B$3*Setup!$C$10</f>
        <v/>
      </c>
      <c r="L28" s="17">
        <f>IF(Setup!F40&gt;0,K28/Setup!F40,0)</f>
        <v/>
      </c>
      <c r="M28" s="17">
        <f>M27+L28</f>
        <v/>
      </c>
      <c r="N28" s="16">
        <f>M28*Setup!H40</f>
        <v/>
      </c>
      <c r="O28" s="16">
        <f>M28*Setup!G40</f>
        <v/>
      </c>
      <c r="P28" s="16">
        <f>I28+N28</f>
        <v/>
      </c>
      <c r="Q28" s="16">
        <f>E28+P28</f>
        <v/>
      </c>
      <c r="R28" s="16">
        <f>R27+F28+K28</f>
        <v/>
      </c>
      <c r="S28" s="16">
        <f>J28+O28</f>
        <v/>
      </c>
      <c r="T28" s="16">
        <f>ROUND(T27*(1+B28/12),2)+Setup!$B$3</f>
        <v/>
      </c>
    </row>
    <row r="29">
      <c r="A29" s="6">
        <f>Setup!A41</f>
        <v/>
      </c>
      <c r="B29" s="12">
        <f>Setup!B41</f>
        <v/>
      </c>
      <c r="C29" s="13">
        <f>Q28</f>
        <v/>
      </c>
      <c r="D29" s="18">
        <f>ROUND(C29*B29/12,2)</f>
        <v/>
      </c>
      <c r="E29" s="18">
        <f>C29+D29</f>
        <v/>
      </c>
      <c r="F29" s="18">
        <f>Setup!$B$3*Setup!$C$9</f>
        <v/>
      </c>
      <c r="G29" s="19">
        <f>IF(Setup!C41&gt;0,F29/Setup!C41,0)</f>
        <v/>
      </c>
      <c r="H29" s="19">
        <f>H28+G29</f>
        <v/>
      </c>
      <c r="I29" s="18">
        <f>H29*Setup!E41</f>
        <v/>
      </c>
      <c r="J29" s="18">
        <f>H29*Setup!D41</f>
        <v/>
      </c>
      <c r="K29" s="18">
        <f>Setup!$B$3*Setup!$C$10</f>
        <v/>
      </c>
      <c r="L29" s="19">
        <f>IF(Setup!F41&gt;0,K29/Setup!F41,0)</f>
        <v/>
      </c>
      <c r="M29" s="19">
        <f>M28+L29</f>
        <v/>
      </c>
      <c r="N29" s="18">
        <f>M29*Setup!H41</f>
        <v/>
      </c>
      <c r="O29" s="18">
        <f>M29*Setup!G41</f>
        <v/>
      </c>
      <c r="P29" s="18">
        <f>I29+N29</f>
        <v/>
      </c>
      <c r="Q29" s="18">
        <f>E29+P29</f>
        <v/>
      </c>
      <c r="R29" s="18">
        <f>R28+F29+K29</f>
        <v/>
      </c>
      <c r="S29" s="18">
        <f>J29+O29</f>
        <v/>
      </c>
      <c r="T29" s="18">
        <f>ROUND(T28*(1+B29/12),2)+Setup!$B$3</f>
        <v/>
      </c>
    </row>
    <row r="30">
      <c r="A30" s="8">
        <f>Setup!A42</f>
        <v/>
      </c>
      <c r="B30" s="9">
        <f>Setup!B42</f>
        <v/>
      </c>
      <c r="C30" s="10">
        <f>Q29</f>
        <v/>
      </c>
      <c r="D30" s="16">
        <f>ROUND(C30*B30/12,2)</f>
        <v/>
      </c>
      <c r="E30" s="16">
        <f>C30+D30</f>
        <v/>
      </c>
      <c r="F30" s="16">
        <f>Setup!$B$3*Setup!$C$9</f>
        <v/>
      </c>
      <c r="G30" s="17">
        <f>IF(Setup!C42&gt;0,F30/Setup!C42,0)</f>
        <v/>
      </c>
      <c r="H30" s="17">
        <f>H29+G30</f>
        <v/>
      </c>
      <c r="I30" s="16">
        <f>H30*Setup!E42</f>
        <v/>
      </c>
      <c r="J30" s="16">
        <f>H30*Setup!D42</f>
        <v/>
      </c>
      <c r="K30" s="16">
        <f>Setup!$B$3*Setup!$C$10</f>
        <v/>
      </c>
      <c r="L30" s="17">
        <f>IF(Setup!F42&gt;0,K30/Setup!F42,0)</f>
        <v/>
      </c>
      <c r="M30" s="17">
        <f>M29+L30</f>
        <v/>
      </c>
      <c r="N30" s="16">
        <f>M30*Setup!H42</f>
        <v/>
      </c>
      <c r="O30" s="16">
        <f>M30*Setup!G42</f>
        <v/>
      </c>
      <c r="P30" s="16">
        <f>I30+N30</f>
        <v/>
      </c>
      <c r="Q30" s="16">
        <f>E30+P30</f>
        <v/>
      </c>
      <c r="R30" s="16">
        <f>R29+F30+K30</f>
        <v/>
      </c>
      <c r="S30" s="16">
        <f>J30+O30</f>
        <v/>
      </c>
      <c r="T30" s="16">
        <f>ROUND(T29*(1+B30/12),2)+Setup!$B$3</f>
        <v/>
      </c>
    </row>
    <row r="31">
      <c r="A31" s="6">
        <f>Setup!A43</f>
        <v/>
      </c>
      <c r="B31" s="12">
        <f>Setup!B43</f>
        <v/>
      </c>
      <c r="C31" s="13">
        <f>Q30</f>
        <v/>
      </c>
      <c r="D31" s="18">
        <f>ROUND(C31*B31/12,2)</f>
        <v/>
      </c>
      <c r="E31" s="18">
        <f>C31+D31</f>
        <v/>
      </c>
      <c r="F31" s="18">
        <f>Setup!$B$3*Setup!$C$9</f>
        <v/>
      </c>
      <c r="G31" s="19">
        <f>IF(Setup!C43&gt;0,F31/Setup!C43,0)</f>
        <v/>
      </c>
      <c r="H31" s="19">
        <f>H30+G31</f>
        <v/>
      </c>
      <c r="I31" s="18">
        <f>H31*Setup!E43</f>
        <v/>
      </c>
      <c r="J31" s="18">
        <f>H31*Setup!D43</f>
        <v/>
      </c>
      <c r="K31" s="18">
        <f>Setup!$B$3*Setup!$C$10</f>
        <v/>
      </c>
      <c r="L31" s="19">
        <f>IF(Setup!F43&gt;0,K31/Setup!F43,0)</f>
        <v/>
      </c>
      <c r="M31" s="19">
        <f>M30+L31</f>
        <v/>
      </c>
      <c r="N31" s="18">
        <f>M31*Setup!H43</f>
        <v/>
      </c>
      <c r="O31" s="18">
        <f>M31*Setup!G43</f>
        <v/>
      </c>
      <c r="P31" s="18">
        <f>I31+N31</f>
        <v/>
      </c>
      <c r="Q31" s="18">
        <f>E31+P31</f>
        <v/>
      </c>
      <c r="R31" s="18">
        <f>R30+F31+K31</f>
        <v/>
      </c>
      <c r="S31" s="18">
        <f>J31+O31</f>
        <v/>
      </c>
      <c r="T31" s="18">
        <f>ROUND(T30*(1+B31/12),2)+Setup!$B$3</f>
        <v/>
      </c>
    </row>
    <row r="32">
      <c r="A32" s="8">
        <f>Setup!A44</f>
        <v/>
      </c>
      <c r="B32" s="9">
        <f>Setup!B44</f>
        <v/>
      </c>
      <c r="C32" s="10">
        <f>Q31</f>
        <v/>
      </c>
      <c r="D32" s="16">
        <f>ROUND(C32*B32/12,2)</f>
        <v/>
      </c>
      <c r="E32" s="16">
        <f>C32+D32</f>
        <v/>
      </c>
      <c r="F32" s="16">
        <f>Setup!$B$3*Setup!$C$9</f>
        <v/>
      </c>
      <c r="G32" s="17">
        <f>IF(Setup!C44&gt;0,F32/Setup!C44,0)</f>
        <v/>
      </c>
      <c r="H32" s="17">
        <f>H31+G32</f>
        <v/>
      </c>
      <c r="I32" s="16">
        <f>H32*Setup!E44</f>
        <v/>
      </c>
      <c r="J32" s="16">
        <f>H32*Setup!D44</f>
        <v/>
      </c>
      <c r="K32" s="16">
        <f>Setup!$B$3*Setup!$C$10</f>
        <v/>
      </c>
      <c r="L32" s="17">
        <f>IF(Setup!F44&gt;0,K32/Setup!F44,0)</f>
        <v/>
      </c>
      <c r="M32" s="17">
        <f>M31+L32</f>
        <v/>
      </c>
      <c r="N32" s="16">
        <f>M32*Setup!H44</f>
        <v/>
      </c>
      <c r="O32" s="16">
        <f>M32*Setup!G44</f>
        <v/>
      </c>
      <c r="P32" s="16">
        <f>I32+N32</f>
        <v/>
      </c>
      <c r="Q32" s="16">
        <f>E32+P32</f>
        <v/>
      </c>
      <c r="R32" s="16">
        <f>R31+F32+K32</f>
        <v/>
      </c>
      <c r="S32" s="16">
        <f>J32+O32</f>
        <v/>
      </c>
      <c r="T32" s="16">
        <f>ROUND(T31*(1+B32/12),2)+Setup!$B$3</f>
        <v/>
      </c>
    </row>
    <row r="33">
      <c r="A33" s="6">
        <f>Setup!A45</f>
        <v/>
      </c>
      <c r="B33" s="12">
        <f>Setup!B45</f>
        <v/>
      </c>
      <c r="C33" s="13">
        <f>Q32</f>
        <v/>
      </c>
      <c r="D33" s="18">
        <f>ROUND(C33*B33/12,2)</f>
        <v/>
      </c>
      <c r="E33" s="18">
        <f>C33+D33</f>
        <v/>
      </c>
      <c r="F33" s="18">
        <f>Setup!$B$3*Setup!$C$9</f>
        <v/>
      </c>
      <c r="G33" s="19">
        <f>IF(Setup!C45&gt;0,F33/Setup!C45,0)</f>
        <v/>
      </c>
      <c r="H33" s="19">
        <f>H32+G33</f>
        <v/>
      </c>
      <c r="I33" s="18">
        <f>H33*Setup!E45</f>
        <v/>
      </c>
      <c r="J33" s="18">
        <f>H33*Setup!D45</f>
        <v/>
      </c>
      <c r="K33" s="18">
        <f>Setup!$B$3*Setup!$C$10</f>
        <v/>
      </c>
      <c r="L33" s="19">
        <f>IF(Setup!F45&gt;0,K33/Setup!F45,0)</f>
        <v/>
      </c>
      <c r="M33" s="19">
        <f>M32+L33</f>
        <v/>
      </c>
      <c r="N33" s="18">
        <f>M33*Setup!H45</f>
        <v/>
      </c>
      <c r="O33" s="18">
        <f>M33*Setup!G45</f>
        <v/>
      </c>
      <c r="P33" s="18">
        <f>I33+N33</f>
        <v/>
      </c>
      <c r="Q33" s="18">
        <f>E33+P33</f>
        <v/>
      </c>
      <c r="R33" s="18">
        <f>R32+F33+K33</f>
        <v/>
      </c>
      <c r="S33" s="18">
        <f>J33+O33</f>
        <v/>
      </c>
      <c r="T33" s="18">
        <f>ROUND(T32*(1+B33/12),2)+Setup!$B$3</f>
        <v/>
      </c>
    </row>
    <row r="34">
      <c r="A34" s="8">
        <f>Setup!A46</f>
        <v/>
      </c>
      <c r="B34" s="9">
        <f>Setup!B46</f>
        <v/>
      </c>
      <c r="C34" s="10">
        <f>Q33</f>
        <v/>
      </c>
      <c r="D34" s="16">
        <f>ROUND(C34*B34/12,2)</f>
        <v/>
      </c>
      <c r="E34" s="16">
        <f>C34+D34</f>
        <v/>
      </c>
      <c r="F34" s="16">
        <f>Setup!$B$3*Setup!$C$9</f>
        <v/>
      </c>
      <c r="G34" s="17">
        <f>IF(Setup!C46&gt;0,F34/Setup!C46,0)</f>
        <v/>
      </c>
      <c r="H34" s="17">
        <f>H33+G34</f>
        <v/>
      </c>
      <c r="I34" s="16">
        <f>H34*Setup!E46</f>
        <v/>
      </c>
      <c r="J34" s="16">
        <f>H34*Setup!D46</f>
        <v/>
      </c>
      <c r="K34" s="16">
        <f>Setup!$B$3*Setup!$C$10</f>
        <v/>
      </c>
      <c r="L34" s="17">
        <f>IF(Setup!F46&gt;0,K34/Setup!F46,0)</f>
        <v/>
      </c>
      <c r="M34" s="17">
        <f>M33+L34</f>
        <v/>
      </c>
      <c r="N34" s="16">
        <f>M34*Setup!H46</f>
        <v/>
      </c>
      <c r="O34" s="16">
        <f>M34*Setup!G46</f>
        <v/>
      </c>
      <c r="P34" s="16">
        <f>I34+N34</f>
        <v/>
      </c>
      <c r="Q34" s="16">
        <f>E34+P34</f>
        <v/>
      </c>
      <c r="R34" s="16">
        <f>R33+F34+K34</f>
        <v/>
      </c>
      <c r="S34" s="16">
        <f>J34+O34</f>
        <v/>
      </c>
      <c r="T34" s="16">
        <f>ROUND(T33*(1+B34/12),2)+Setup!$B$3</f>
        <v/>
      </c>
    </row>
    <row r="35">
      <c r="A35" s="6">
        <f>Setup!A47</f>
        <v/>
      </c>
      <c r="B35" s="12">
        <f>Setup!B47</f>
        <v/>
      </c>
      <c r="C35" s="13">
        <f>Q34</f>
        <v/>
      </c>
      <c r="D35" s="18">
        <f>ROUND(C35*B35/12,2)</f>
        <v/>
      </c>
      <c r="E35" s="18">
        <f>C35+D35</f>
        <v/>
      </c>
      <c r="F35" s="18">
        <f>Setup!$B$3*Setup!$C$9</f>
        <v/>
      </c>
      <c r="G35" s="19">
        <f>IF(Setup!C47&gt;0,F35/Setup!C47,0)</f>
        <v/>
      </c>
      <c r="H35" s="19">
        <f>H34+G35</f>
        <v/>
      </c>
      <c r="I35" s="18">
        <f>H35*Setup!E47</f>
        <v/>
      </c>
      <c r="J35" s="18">
        <f>H35*Setup!D47</f>
        <v/>
      </c>
      <c r="K35" s="18">
        <f>Setup!$B$3*Setup!$C$10</f>
        <v/>
      </c>
      <c r="L35" s="19">
        <f>IF(Setup!F47&gt;0,K35/Setup!F47,0)</f>
        <v/>
      </c>
      <c r="M35" s="19">
        <f>M34+L35</f>
        <v/>
      </c>
      <c r="N35" s="18">
        <f>M35*Setup!H47</f>
        <v/>
      </c>
      <c r="O35" s="18">
        <f>M35*Setup!G47</f>
        <v/>
      </c>
      <c r="P35" s="18">
        <f>I35+N35</f>
        <v/>
      </c>
      <c r="Q35" s="18">
        <f>E35+P35</f>
        <v/>
      </c>
      <c r="R35" s="18">
        <f>R34+F35+K35</f>
        <v/>
      </c>
      <c r="S35" s="18">
        <f>J35+O35</f>
        <v/>
      </c>
      <c r="T35" s="18">
        <f>ROUND(T34*(1+B35/12),2)+Setup!$B$3</f>
        <v/>
      </c>
    </row>
    <row r="36">
      <c r="A36" s="8">
        <f>Setup!A48</f>
        <v/>
      </c>
      <c r="B36" s="9">
        <f>Setup!B48</f>
        <v/>
      </c>
      <c r="C36" s="10">
        <f>Q35</f>
        <v/>
      </c>
      <c r="D36" s="16">
        <f>ROUND(C36*B36/12,2)</f>
        <v/>
      </c>
      <c r="E36" s="16">
        <f>C36+D36</f>
        <v/>
      </c>
      <c r="F36" s="16">
        <f>Setup!$B$3*Setup!$C$9</f>
        <v/>
      </c>
      <c r="G36" s="17">
        <f>IF(Setup!C48&gt;0,F36/Setup!C48,0)</f>
        <v/>
      </c>
      <c r="H36" s="17">
        <f>H35+G36</f>
        <v/>
      </c>
      <c r="I36" s="16">
        <f>H36*Setup!E48</f>
        <v/>
      </c>
      <c r="J36" s="16">
        <f>H36*Setup!D48</f>
        <v/>
      </c>
      <c r="K36" s="16">
        <f>Setup!$B$3*Setup!$C$10</f>
        <v/>
      </c>
      <c r="L36" s="17">
        <f>IF(Setup!F48&gt;0,K36/Setup!F48,0)</f>
        <v/>
      </c>
      <c r="M36" s="17">
        <f>M35+L36</f>
        <v/>
      </c>
      <c r="N36" s="16">
        <f>M36*Setup!H48</f>
        <v/>
      </c>
      <c r="O36" s="16">
        <f>M36*Setup!G48</f>
        <v/>
      </c>
      <c r="P36" s="16">
        <f>I36+N36</f>
        <v/>
      </c>
      <c r="Q36" s="16">
        <f>E36+P36</f>
        <v/>
      </c>
      <c r="R36" s="16">
        <f>R35+F36+K36</f>
        <v/>
      </c>
      <c r="S36" s="16">
        <f>J36+O36</f>
        <v/>
      </c>
      <c r="T36" s="16">
        <f>ROUND(T35*(1+B36/12),2)+Setup!$B$3</f>
        <v/>
      </c>
    </row>
    <row r="37">
      <c r="A37" s="6">
        <f>Setup!A49</f>
        <v/>
      </c>
      <c r="B37" s="12">
        <f>Setup!B49</f>
        <v/>
      </c>
      <c r="C37" s="13">
        <f>Q36</f>
        <v/>
      </c>
      <c r="D37" s="18">
        <f>ROUND(C37*B37/12,2)</f>
        <v/>
      </c>
      <c r="E37" s="18">
        <f>C37+D37</f>
        <v/>
      </c>
      <c r="F37" s="18">
        <f>Setup!$B$3*Setup!$C$9</f>
        <v/>
      </c>
      <c r="G37" s="19">
        <f>IF(Setup!C49&gt;0,F37/Setup!C49,0)</f>
        <v/>
      </c>
      <c r="H37" s="19">
        <f>H36+G37</f>
        <v/>
      </c>
      <c r="I37" s="18">
        <f>H37*Setup!E49</f>
        <v/>
      </c>
      <c r="J37" s="18">
        <f>H37*Setup!D49</f>
        <v/>
      </c>
      <c r="K37" s="18">
        <f>Setup!$B$3*Setup!$C$10</f>
        <v/>
      </c>
      <c r="L37" s="19">
        <f>IF(Setup!F49&gt;0,K37/Setup!F49,0)</f>
        <v/>
      </c>
      <c r="M37" s="19">
        <f>M36+L37</f>
        <v/>
      </c>
      <c r="N37" s="18">
        <f>M37*Setup!H49</f>
        <v/>
      </c>
      <c r="O37" s="18">
        <f>M37*Setup!G49</f>
        <v/>
      </c>
      <c r="P37" s="18">
        <f>I37+N37</f>
        <v/>
      </c>
      <c r="Q37" s="18">
        <f>E37+P37</f>
        <v/>
      </c>
      <c r="R37" s="18">
        <f>R36+F37+K37</f>
        <v/>
      </c>
      <c r="S37" s="18">
        <f>J37+O37</f>
        <v/>
      </c>
      <c r="T37" s="18">
        <f>ROUND(T36*(1+B37/12),2)+Setup!$B$3</f>
        <v/>
      </c>
    </row>
    <row r="38">
      <c r="A38" s="8">
        <f>Setup!A50</f>
        <v/>
      </c>
      <c r="B38" s="9">
        <f>Setup!B50</f>
        <v/>
      </c>
      <c r="C38" s="10">
        <f>Q37</f>
        <v/>
      </c>
      <c r="D38" s="16">
        <f>ROUND(C38*B38/12,2)</f>
        <v/>
      </c>
      <c r="E38" s="16">
        <f>C38+D38</f>
        <v/>
      </c>
      <c r="F38" s="16">
        <f>Setup!$B$3*Setup!$C$9</f>
        <v/>
      </c>
      <c r="G38" s="17">
        <f>IF(Setup!C50&gt;0,F38/Setup!C50,0)</f>
        <v/>
      </c>
      <c r="H38" s="17">
        <f>H37+G38</f>
        <v/>
      </c>
      <c r="I38" s="16">
        <f>H38*Setup!E50</f>
        <v/>
      </c>
      <c r="J38" s="16">
        <f>H38*Setup!D50</f>
        <v/>
      </c>
      <c r="K38" s="16">
        <f>Setup!$B$3*Setup!$C$10</f>
        <v/>
      </c>
      <c r="L38" s="17">
        <f>IF(Setup!F50&gt;0,K38/Setup!F50,0)</f>
        <v/>
      </c>
      <c r="M38" s="17">
        <f>M37+L38</f>
        <v/>
      </c>
      <c r="N38" s="16">
        <f>M38*Setup!H50</f>
        <v/>
      </c>
      <c r="O38" s="16">
        <f>M38*Setup!G50</f>
        <v/>
      </c>
      <c r="P38" s="16">
        <f>I38+N38</f>
        <v/>
      </c>
      <c r="Q38" s="16">
        <f>E38+P38</f>
        <v/>
      </c>
      <c r="R38" s="16">
        <f>R37+F38+K38</f>
        <v/>
      </c>
      <c r="S38" s="16">
        <f>J38+O38</f>
        <v/>
      </c>
      <c r="T38" s="16">
        <f>ROUND(T37*(1+B38/12),2)+Setup!$B$3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  <col width="20" customWidth="1" min="7" max="7"/>
  </cols>
  <sheetData>
    <row r="1">
      <c r="A1" s="15" t="inlineStr">
        <is>
          <t>Year</t>
        </is>
      </c>
      <c r="B1" s="15" t="inlineStr">
        <is>
          <t>Invested</t>
        </is>
      </c>
      <c r="C1" s="15" t="inlineStr">
        <is>
          <t>Cum Invested</t>
        </is>
      </c>
      <c r="D1" s="15" t="inlineStr">
        <is>
          <t>Dividends</t>
        </is>
      </c>
      <c r="E1" s="15" t="inlineStr">
        <is>
          <t>MM Interest</t>
        </is>
      </c>
      <c r="F1" s="15" t="inlineStr">
        <is>
          <t>End Stock Value</t>
        </is>
      </c>
      <c r="G1" s="15" t="inlineStr">
        <is>
          <t>End Div Bal</t>
        </is>
      </c>
    </row>
    <row r="2">
      <c r="A2" s="20" t="n">
        <v>2023</v>
      </c>
      <c r="B2" s="16">
        <f>SUM('Monthly Sim'!F2:F12)+SUM('Monthly Sim'!K2:K12)</f>
        <v/>
      </c>
      <c r="C2" s="16">
        <f>'Monthly Sim'!R12</f>
        <v/>
      </c>
      <c r="D2" s="16">
        <f>SUM('Monthly Sim'!P2:P12)</f>
        <v/>
      </c>
      <c r="E2" s="16">
        <f>SUM('Monthly Sim'!D2:D12)</f>
        <v/>
      </c>
      <c r="F2" s="16">
        <f>'Monthly Sim'!S12</f>
        <v/>
      </c>
      <c r="G2" s="16">
        <f>'Monthly Sim'!Q12</f>
        <v/>
      </c>
    </row>
    <row r="3">
      <c r="A3" s="21" t="n">
        <v>2024</v>
      </c>
      <c r="B3" s="18">
        <f>SUM('Monthly Sim'!F13:F24)+SUM('Monthly Sim'!K13:K24)</f>
        <v/>
      </c>
      <c r="C3" s="18">
        <f>'Monthly Sim'!R24</f>
        <v/>
      </c>
      <c r="D3" s="18">
        <f>SUM('Monthly Sim'!P13:P24)</f>
        <v/>
      </c>
      <c r="E3" s="18">
        <f>SUM('Monthly Sim'!D13:D24)</f>
        <v/>
      </c>
      <c r="F3" s="18">
        <f>'Monthly Sim'!S24</f>
        <v/>
      </c>
      <c r="G3" s="18">
        <f>'Monthly Sim'!Q24</f>
        <v/>
      </c>
    </row>
    <row r="4">
      <c r="A4" s="20" t="n">
        <v>2025</v>
      </c>
      <c r="B4" s="16">
        <f>SUM('Monthly Sim'!F25:F36)+SUM('Monthly Sim'!K25:K36)</f>
        <v/>
      </c>
      <c r="C4" s="16">
        <f>'Monthly Sim'!R36</f>
        <v/>
      </c>
      <c r="D4" s="16">
        <f>SUM('Monthly Sim'!P25:P36)</f>
        <v/>
      </c>
      <c r="E4" s="16">
        <f>SUM('Monthly Sim'!D25:D36)</f>
        <v/>
      </c>
      <c r="F4" s="16">
        <f>'Monthly Sim'!S36</f>
        <v/>
      </c>
      <c r="G4" s="16">
        <f>'Monthly Sim'!Q36</f>
        <v/>
      </c>
    </row>
    <row r="5">
      <c r="A5" s="21" t="n">
        <v>2026</v>
      </c>
      <c r="B5" s="18">
        <f>SUM('Monthly Sim'!F37:F38)+SUM('Monthly Sim'!K37:K38)</f>
        <v/>
      </c>
      <c r="C5" s="18">
        <f>'Monthly Sim'!R38</f>
        <v/>
      </c>
      <c r="D5" s="18">
        <f>SUM('Monthly Sim'!P37:P38)</f>
        <v/>
      </c>
      <c r="E5" s="18">
        <f>SUM('Monthly Sim'!D37:D38)</f>
        <v/>
      </c>
      <c r="F5" s="18">
        <f>'Monthly Sim'!S38</f>
        <v/>
      </c>
      <c r="G5" s="18">
        <f>'Monthly Sim'!Q38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0" customWidth="1" min="4" max="4"/>
    <col width="17" customWidth="1" min="5" max="5"/>
    <col width="13" customWidth="1" min="6" max="6"/>
  </cols>
  <sheetData>
    <row r="1">
      <c r="A1" s="22" t="inlineStr">
        <is>
          <t>Year</t>
        </is>
      </c>
      <c r="B1" s="22" t="inlineStr">
        <is>
          <t>Dividends</t>
        </is>
      </c>
      <c r="C1" s="22" t="inlineStr">
        <is>
          <t>Tax on Dividends</t>
        </is>
      </c>
      <c r="D1" s="22" t="inlineStr">
        <is>
          <t>MM Interest</t>
        </is>
      </c>
      <c r="E1" s="22" t="inlineStr">
        <is>
          <t>Tax on Interest</t>
        </is>
      </c>
      <c r="F1" s="22" t="inlineStr">
        <is>
          <t>Total Taxes</t>
        </is>
      </c>
    </row>
    <row r="2">
      <c r="A2" s="20">
        <f>'Year Summary'!A2</f>
        <v/>
      </c>
      <c r="B2" s="16">
        <f>'Year Summary'!D2</f>
        <v/>
      </c>
      <c r="C2" s="16">
        <f>B2*Setup!$B$5</f>
        <v/>
      </c>
      <c r="D2" s="16">
        <f>'Year Summary'!E2</f>
        <v/>
      </c>
      <c r="E2" s="16">
        <f>D2*Setup!$B$5</f>
        <v/>
      </c>
      <c r="F2" s="16">
        <f>C2+E2</f>
        <v/>
      </c>
    </row>
    <row r="3">
      <c r="A3" s="21">
        <f>'Year Summary'!A3</f>
        <v/>
      </c>
      <c r="B3" s="18">
        <f>'Year Summary'!D3</f>
        <v/>
      </c>
      <c r="C3" s="18">
        <f>B3*Setup!$B$5</f>
        <v/>
      </c>
      <c r="D3" s="18">
        <f>'Year Summary'!E3</f>
        <v/>
      </c>
      <c r="E3" s="18">
        <f>D3*Setup!$B$5</f>
        <v/>
      </c>
      <c r="F3" s="18">
        <f>C3+E3</f>
        <v/>
      </c>
    </row>
    <row r="4">
      <c r="A4" s="20">
        <f>'Year Summary'!A4</f>
        <v/>
      </c>
      <c r="B4" s="16">
        <f>'Year Summary'!D4</f>
        <v/>
      </c>
      <c r="C4" s="16">
        <f>B4*Setup!$B$5</f>
        <v/>
      </c>
      <c r="D4" s="16">
        <f>'Year Summary'!E4</f>
        <v/>
      </c>
      <c r="E4" s="16">
        <f>D4*Setup!$B$5</f>
        <v/>
      </c>
      <c r="F4" s="16">
        <f>C4+E4</f>
        <v/>
      </c>
    </row>
    <row r="5">
      <c r="A5" s="21">
        <f>'Year Summary'!A5</f>
        <v/>
      </c>
      <c r="B5" s="18">
        <f>'Year Summary'!D5</f>
        <v/>
      </c>
      <c r="C5" s="18">
        <f>B5*Setup!$B$5</f>
        <v/>
      </c>
      <c r="D5" s="18">
        <f>'Year Summary'!E5</f>
        <v/>
      </c>
      <c r="E5" s="18">
        <f>D5*Setup!$B$5</f>
        <v/>
      </c>
      <c r="F5" s="18">
        <f>C5+E5</f>
        <v/>
      </c>
    </row>
    <row r="6">
      <c r="A6" s="23" t="inlineStr">
        <is>
          <t>TOTAL</t>
        </is>
      </c>
      <c r="B6" s="24">
        <f>SUM(B2:B5)</f>
        <v/>
      </c>
      <c r="C6" s="24">
        <f>SUM(C2:C5)</f>
        <v/>
      </c>
      <c r="D6" s="24">
        <f>SUM(D2:D5)</f>
        <v/>
      </c>
      <c r="E6" s="24">
        <f>SUM(E2:E5)</f>
        <v/>
      </c>
      <c r="F6" s="24">
        <f>SUM(F2:F5)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0" customWidth="1" min="5" max="5"/>
    <col width="22" customWidth="1" min="6" max="6"/>
    <col width="22" customWidth="1" min="7" max="7"/>
    <col width="16" customWidth="1" min="8" max="8"/>
    <col width="18" customWidth="1" min="9" max="9"/>
  </cols>
  <sheetData>
    <row r="1">
      <c r="A1" s="15" t="inlineStr">
        <is>
          <t>Year</t>
        </is>
      </c>
      <c r="B1" s="15" t="inlineStr">
        <is>
          <t>Invested</t>
        </is>
      </c>
      <c r="C1" s="15" t="inlineStr">
        <is>
          <t>Dividends</t>
        </is>
      </c>
      <c r="D1" s="15" t="inlineStr">
        <is>
          <t>MM Interest</t>
        </is>
      </c>
      <c r="E1" s="15" t="inlineStr">
        <is>
          <t>Stock Value</t>
        </is>
      </c>
      <c r="F1" s="15" t="inlineStr">
        <is>
          <t>Portfolio Value</t>
        </is>
      </c>
      <c r="G1" s="15" t="inlineStr">
        <is>
          <t>After-Tax Value</t>
        </is>
      </c>
      <c r="H1" s="15" t="inlineStr">
        <is>
          <t>Pre-Tax Return</t>
        </is>
      </c>
      <c r="I1" s="15" t="inlineStr">
        <is>
          <t>After-Tax Return</t>
        </is>
      </c>
    </row>
    <row r="2">
      <c r="A2" s="25">
        <f>'Year Summary'!A2</f>
        <v/>
      </c>
      <c r="B2" s="26">
        <f>'Year Summary'!B2</f>
        <v/>
      </c>
      <c r="C2" s="26">
        <f>'Year Summary'!D2</f>
        <v/>
      </c>
      <c r="D2" s="26">
        <f>'Year Summary'!E2</f>
        <v/>
      </c>
      <c r="E2" s="26">
        <f>'Year Summary'!F2</f>
        <v/>
      </c>
      <c r="F2" s="26">
        <f>'Year Summary'!F2+'Year Summary'!G2</f>
        <v/>
      </c>
      <c r="G2" s="26">
        <f>F2-'Tax Impact'!F2</f>
        <v/>
      </c>
      <c r="H2" s="27">
        <f>C9</f>
        <v/>
      </c>
      <c r="I2" s="27">
        <f>C10</f>
        <v/>
      </c>
    </row>
    <row r="3">
      <c r="A3" s="28" t="inlineStr"/>
      <c r="B3" s="29" t="inlineStr">
        <is>
          <t>Beginning Stock Value</t>
        </is>
      </c>
      <c r="C3" s="30" t="n">
        <v>0</v>
      </c>
      <c r="D3" s="31" t="n"/>
      <c r="E3" s="31" t="n"/>
      <c r="F3" s="31" t="n"/>
      <c r="G3" s="31" t="n"/>
      <c r="H3" s="31" t="n"/>
      <c r="I3" s="31" t="n"/>
    </row>
    <row r="4">
      <c r="A4" s="28" t="inlineStr"/>
      <c r="B4" s="29" t="inlineStr">
        <is>
          <t>Stock Gain</t>
        </is>
      </c>
      <c r="C4" s="30">
        <f>E2-C3-B2</f>
        <v/>
      </c>
      <c r="D4" s="32" t="inlineStr">
        <is>
          <t>End Stock Value - Beginning - Invested</t>
        </is>
      </c>
      <c r="E4" s="31" t="n"/>
      <c r="F4" s="31" t="n"/>
      <c r="G4" s="31" t="n"/>
      <c r="H4" s="31" t="n"/>
      <c r="I4" s="31" t="n"/>
    </row>
    <row r="5">
      <c r="A5" s="28" t="inlineStr"/>
      <c r="B5" s="29" t="inlineStr">
        <is>
          <t>Avg Invested Capital</t>
        </is>
      </c>
      <c r="C5" s="30">
        <f>B2*0.542</f>
        <v/>
      </c>
      <c r="D5" s="32" t="inlineStr">
        <is>
          <t>Invested x 0.542 (DCA mid-year)</t>
        </is>
      </c>
      <c r="E5" s="31" t="n"/>
      <c r="F5" s="31" t="n"/>
      <c r="G5" s="31" t="n"/>
      <c r="H5" s="31" t="n"/>
      <c r="I5" s="31" t="n"/>
    </row>
    <row r="6">
      <c r="A6" s="28" t="inlineStr"/>
      <c r="B6" s="29" t="inlineStr">
        <is>
          <t>Base Capital (Denominator)</t>
        </is>
      </c>
      <c r="C6" s="30">
        <f>C3+C5</f>
        <v/>
      </c>
      <c r="D6" s="32" t="inlineStr">
        <is>
          <t>Beginning Stock Value + Avg Invested</t>
        </is>
      </c>
      <c r="E6" s="31" t="n"/>
      <c r="F6" s="31" t="n"/>
      <c r="G6" s="31" t="n"/>
      <c r="H6" s="31" t="n"/>
      <c r="I6" s="31" t="n"/>
    </row>
    <row r="7">
      <c r="A7" s="28" t="inlineStr"/>
      <c r="B7" s="29" t="inlineStr">
        <is>
          <t>Total Gain (Numerator)</t>
        </is>
      </c>
      <c r="C7" s="30">
        <f>C4+C2+D2</f>
        <v/>
      </c>
      <c r="D7" s="32" t="inlineStr">
        <is>
          <t>Stock Gain + Dividends + MM Interest</t>
        </is>
      </c>
      <c r="E7" s="31" t="n"/>
      <c r="F7" s="31" t="n"/>
      <c r="G7" s="31" t="n"/>
      <c r="H7" s="31" t="n"/>
      <c r="I7" s="31" t="n"/>
    </row>
    <row r="8">
      <c r="A8" s="28" t="inlineStr"/>
      <c r="B8" s="29" t="inlineStr">
        <is>
          <t>After-Tax Gain</t>
        </is>
      </c>
      <c r="C8" s="30">
        <f>C4+(C2-'Tax Impact'!C2)+(D2-'Tax Impact'!E2)</f>
        <v/>
      </c>
      <c r="D8" s="32" t="inlineStr">
        <is>
          <t>Stock Gain + (Divs-Tax) + (MMInt-Tax)</t>
        </is>
      </c>
      <c r="E8" s="31" t="n"/>
      <c r="F8" s="31" t="n"/>
      <c r="G8" s="31" t="n"/>
      <c r="H8" s="31" t="n"/>
      <c r="I8" s="31" t="n"/>
    </row>
    <row r="9">
      <c r="A9" s="28" t="inlineStr"/>
      <c r="B9" s="29" t="inlineStr">
        <is>
          <t>Pre-Tax Return</t>
        </is>
      </c>
      <c r="C9" s="33">
        <f>IF(C6&gt;0,C7/C6,0)</f>
        <v/>
      </c>
      <c r="D9" s="32" t="inlineStr">
        <is>
          <t>Total Gain / Base Capital</t>
        </is>
      </c>
      <c r="E9" s="31" t="n"/>
      <c r="F9" s="31" t="n"/>
      <c r="G9" s="31" t="n"/>
      <c r="H9" s="31" t="n"/>
      <c r="I9" s="31" t="n"/>
    </row>
    <row r="10">
      <c r="A10" s="28" t="inlineStr"/>
      <c r="B10" s="29" t="inlineStr">
        <is>
          <t>After-Tax Return</t>
        </is>
      </c>
      <c r="C10" s="33">
        <f>IF(C6&gt;0,C8/C6,0)</f>
        <v/>
      </c>
      <c r="D10" s="32" t="inlineStr">
        <is>
          <t>After-Tax Gain / Base Capital</t>
        </is>
      </c>
      <c r="E10" s="31" t="n"/>
      <c r="F10" s="31" t="n"/>
      <c r="G10" s="31" t="n"/>
      <c r="H10" s="31" t="n"/>
      <c r="I10" s="31" t="n"/>
    </row>
    <row r="11"/>
    <row r="12">
      <c r="A12" s="25">
        <f>'Year Summary'!A3</f>
        <v/>
      </c>
      <c r="B12" s="26">
        <f>'Year Summary'!B3</f>
        <v/>
      </c>
      <c r="C12" s="26">
        <f>'Year Summary'!D3</f>
        <v/>
      </c>
      <c r="D12" s="26">
        <f>'Year Summary'!E3</f>
        <v/>
      </c>
      <c r="E12" s="26">
        <f>'Year Summary'!F3</f>
        <v/>
      </c>
      <c r="F12" s="26">
        <f>'Year Summary'!F3+'Year Summary'!G3</f>
        <v/>
      </c>
      <c r="G12" s="26">
        <f>F12-'Tax Impact'!F3</f>
        <v/>
      </c>
      <c r="H12" s="27">
        <f>C19</f>
        <v/>
      </c>
      <c r="I12" s="27">
        <f>C20</f>
        <v/>
      </c>
    </row>
    <row r="13">
      <c r="A13" s="28" t="inlineStr"/>
      <c r="B13" s="29" t="inlineStr">
        <is>
          <t>Beginning Stock Value</t>
        </is>
      </c>
      <c r="C13" s="30">
        <f>'Year Summary'!F2</f>
        <v/>
      </c>
      <c r="D13" s="31" t="n"/>
      <c r="E13" s="31" t="n"/>
      <c r="F13" s="31" t="n"/>
      <c r="G13" s="31" t="n"/>
      <c r="H13" s="31" t="n"/>
      <c r="I13" s="31" t="n"/>
    </row>
    <row r="14">
      <c r="A14" s="28" t="inlineStr"/>
      <c r="B14" s="29" t="inlineStr">
        <is>
          <t>Stock Gain</t>
        </is>
      </c>
      <c r="C14" s="30">
        <f>E12-C13-B12</f>
        <v/>
      </c>
      <c r="D14" s="32" t="inlineStr">
        <is>
          <t>End Stock Value - Beginning - Invested</t>
        </is>
      </c>
      <c r="E14" s="31" t="n"/>
      <c r="F14" s="31" t="n"/>
      <c r="G14" s="31" t="n"/>
      <c r="H14" s="31" t="n"/>
      <c r="I14" s="31" t="n"/>
    </row>
    <row r="15">
      <c r="A15" s="28" t="inlineStr"/>
      <c r="B15" s="29" t="inlineStr">
        <is>
          <t>Avg Invested Capital</t>
        </is>
      </c>
      <c r="C15" s="30">
        <f>B12*0.542</f>
        <v/>
      </c>
      <c r="D15" s="32" t="inlineStr">
        <is>
          <t>Invested x 0.542 (DCA mid-year)</t>
        </is>
      </c>
      <c r="E15" s="31" t="n"/>
      <c r="F15" s="31" t="n"/>
      <c r="G15" s="31" t="n"/>
      <c r="H15" s="31" t="n"/>
      <c r="I15" s="31" t="n"/>
    </row>
    <row r="16">
      <c r="A16" s="28" t="inlineStr"/>
      <c r="B16" s="29" t="inlineStr">
        <is>
          <t>Base Capital (Denominator)</t>
        </is>
      </c>
      <c r="C16" s="30">
        <f>C13+C15</f>
        <v/>
      </c>
      <c r="D16" s="32" t="inlineStr">
        <is>
          <t>Beginning Stock Value + Avg Invested</t>
        </is>
      </c>
      <c r="E16" s="31" t="n"/>
      <c r="F16" s="31" t="n"/>
      <c r="G16" s="31" t="n"/>
      <c r="H16" s="31" t="n"/>
      <c r="I16" s="31" t="n"/>
    </row>
    <row r="17">
      <c r="A17" s="28" t="inlineStr"/>
      <c r="B17" s="29" t="inlineStr">
        <is>
          <t>Total Gain (Numerator)</t>
        </is>
      </c>
      <c r="C17" s="30">
        <f>C14+C12+D12</f>
        <v/>
      </c>
      <c r="D17" s="32" t="inlineStr">
        <is>
          <t>Stock Gain + Dividends + MM Interest</t>
        </is>
      </c>
      <c r="E17" s="31" t="n"/>
      <c r="F17" s="31" t="n"/>
      <c r="G17" s="31" t="n"/>
      <c r="H17" s="31" t="n"/>
      <c r="I17" s="31" t="n"/>
    </row>
    <row r="18">
      <c r="A18" s="28" t="inlineStr"/>
      <c r="B18" s="29" t="inlineStr">
        <is>
          <t>After-Tax Gain</t>
        </is>
      </c>
      <c r="C18" s="30">
        <f>C14+(C12-'Tax Impact'!C3)+(D12-'Tax Impact'!E3)</f>
        <v/>
      </c>
      <c r="D18" s="32" t="inlineStr">
        <is>
          <t>Stock Gain + (Divs-Tax) + (MMInt-Tax)</t>
        </is>
      </c>
      <c r="E18" s="31" t="n"/>
      <c r="F18" s="31" t="n"/>
      <c r="G18" s="31" t="n"/>
      <c r="H18" s="31" t="n"/>
      <c r="I18" s="31" t="n"/>
    </row>
    <row r="19">
      <c r="A19" s="28" t="inlineStr"/>
      <c r="B19" s="29" t="inlineStr">
        <is>
          <t>Pre-Tax Return</t>
        </is>
      </c>
      <c r="C19" s="33">
        <f>IF(C16&gt;0,C17/C16,0)</f>
        <v/>
      </c>
      <c r="D19" s="32" t="inlineStr">
        <is>
          <t>Total Gain / Base Capital</t>
        </is>
      </c>
      <c r="E19" s="31" t="n"/>
      <c r="F19" s="31" t="n"/>
      <c r="G19" s="31" t="n"/>
      <c r="H19" s="31" t="n"/>
      <c r="I19" s="31" t="n"/>
    </row>
    <row r="20">
      <c r="A20" s="28" t="inlineStr"/>
      <c r="B20" s="29" t="inlineStr">
        <is>
          <t>After-Tax Return</t>
        </is>
      </c>
      <c r="C20" s="33">
        <f>IF(C16&gt;0,C18/C16,0)</f>
        <v/>
      </c>
      <c r="D20" s="32" t="inlineStr">
        <is>
          <t>After-Tax Gain / Base Capital</t>
        </is>
      </c>
      <c r="E20" s="31" t="n"/>
      <c r="F20" s="31" t="n"/>
      <c r="G20" s="31" t="n"/>
      <c r="H20" s="31" t="n"/>
      <c r="I20" s="31" t="n"/>
    </row>
    <row r="21"/>
    <row r="22">
      <c r="A22" s="25">
        <f>'Year Summary'!A4</f>
        <v/>
      </c>
      <c r="B22" s="26">
        <f>'Year Summary'!B4</f>
        <v/>
      </c>
      <c r="C22" s="26">
        <f>'Year Summary'!D4</f>
        <v/>
      </c>
      <c r="D22" s="26">
        <f>'Year Summary'!E4</f>
        <v/>
      </c>
      <c r="E22" s="26">
        <f>'Year Summary'!F4</f>
        <v/>
      </c>
      <c r="F22" s="26">
        <f>'Year Summary'!F4+'Year Summary'!G4</f>
        <v/>
      </c>
      <c r="G22" s="26">
        <f>F22-'Tax Impact'!F4</f>
        <v/>
      </c>
      <c r="H22" s="27">
        <f>C29</f>
        <v/>
      </c>
      <c r="I22" s="27">
        <f>C30</f>
        <v/>
      </c>
    </row>
    <row r="23">
      <c r="A23" s="28" t="inlineStr"/>
      <c r="B23" s="29" t="inlineStr">
        <is>
          <t>Beginning Stock Value</t>
        </is>
      </c>
      <c r="C23" s="30">
        <f>'Year Summary'!F3</f>
        <v/>
      </c>
      <c r="D23" s="31" t="n"/>
      <c r="E23" s="31" t="n"/>
      <c r="F23" s="31" t="n"/>
      <c r="G23" s="31" t="n"/>
      <c r="H23" s="31" t="n"/>
      <c r="I23" s="31" t="n"/>
    </row>
    <row r="24">
      <c r="A24" s="28" t="inlineStr"/>
      <c r="B24" s="29" t="inlineStr">
        <is>
          <t>Stock Gain</t>
        </is>
      </c>
      <c r="C24" s="30">
        <f>E22-C23-B22</f>
        <v/>
      </c>
      <c r="D24" s="32" t="inlineStr">
        <is>
          <t>End Stock Value - Beginning - Invested</t>
        </is>
      </c>
      <c r="E24" s="31" t="n"/>
      <c r="F24" s="31" t="n"/>
      <c r="G24" s="31" t="n"/>
      <c r="H24" s="31" t="n"/>
      <c r="I24" s="31" t="n"/>
    </row>
    <row r="25">
      <c r="A25" s="28" t="inlineStr"/>
      <c r="B25" s="29" t="inlineStr">
        <is>
          <t>Avg Invested Capital</t>
        </is>
      </c>
      <c r="C25" s="30">
        <f>B22*0.542</f>
        <v/>
      </c>
      <c r="D25" s="32" t="inlineStr">
        <is>
          <t>Invested x 0.542 (DCA mid-year)</t>
        </is>
      </c>
      <c r="E25" s="31" t="n"/>
      <c r="F25" s="31" t="n"/>
      <c r="G25" s="31" t="n"/>
      <c r="H25" s="31" t="n"/>
      <c r="I25" s="31" t="n"/>
    </row>
    <row r="26">
      <c r="A26" s="28" t="inlineStr"/>
      <c r="B26" s="29" t="inlineStr">
        <is>
          <t>Base Capital (Denominator)</t>
        </is>
      </c>
      <c r="C26" s="30">
        <f>C23+C25</f>
        <v/>
      </c>
      <c r="D26" s="32" t="inlineStr">
        <is>
          <t>Beginning Stock Value + Avg Invested</t>
        </is>
      </c>
      <c r="E26" s="31" t="n"/>
      <c r="F26" s="31" t="n"/>
      <c r="G26" s="31" t="n"/>
      <c r="H26" s="31" t="n"/>
      <c r="I26" s="31" t="n"/>
    </row>
    <row r="27">
      <c r="A27" s="28" t="inlineStr"/>
      <c r="B27" s="29" t="inlineStr">
        <is>
          <t>Total Gain (Numerator)</t>
        </is>
      </c>
      <c r="C27" s="30">
        <f>C24+C22+D22</f>
        <v/>
      </c>
      <c r="D27" s="32" t="inlineStr">
        <is>
          <t>Stock Gain + Dividends + MM Interest</t>
        </is>
      </c>
      <c r="E27" s="31" t="n"/>
      <c r="F27" s="31" t="n"/>
      <c r="G27" s="31" t="n"/>
      <c r="H27" s="31" t="n"/>
      <c r="I27" s="31" t="n"/>
    </row>
    <row r="28">
      <c r="A28" s="28" t="inlineStr"/>
      <c r="B28" s="29" t="inlineStr">
        <is>
          <t>After-Tax Gain</t>
        </is>
      </c>
      <c r="C28" s="30">
        <f>C24+(C22-'Tax Impact'!C4)+(D22-'Tax Impact'!E4)</f>
        <v/>
      </c>
      <c r="D28" s="32" t="inlineStr">
        <is>
          <t>Stock Gain + (Divs-Tax) + (MMInt-Tax)</t>
        </is>
      </c>
      <c r="E28" s="31" t="n"/>
      <c r="F28" s="31" t="n"/>
      <c r="G28" s="31" t="n"/>
      <c r="H28" s="31" t="n"/>
      <c r="I28" s="31" t="n"/>
    </row>
    <row r="29">
      <c r="A29" s="28" t="inlineStr"/>
      <c r="B29" s="29" t="inlineStr">
        <is>
          <t>Pre-Tax Return</t>
        </is>
      </c>
      <c r="C29" s="33">
        <f>IF(C26&gt;0,C27/C26,0)</f>
        <v/>
      </c>
      <c r="D29" s="32" t="inlineStr">
        <is>
          <t>Total Gain / Base Capital</t>
        </is>
      </c>
      <c r="E29" s="31" t="n"/>
      <c r="F29" s="31" t="n"/>
      <c r="G29" s="31" t="n"/>
      <c r="H29" s="31" t="n"/>
      <c r="I29" s="31" t="n"/>
    </row>
    <row r="30">
      <c r="A30" s="28" t="inlineStr"/>
      <c r="B30" s="29" t="inlineStr">
        <is>
          <t>After-Tax Return</t>
        </is>
      </c>
      <c r="C30" s="33">
        <f>IF(C26&gt;0,C28/C26,0)</f>
        <v/>
      </c>
      <c r="D30" s="32" t="inlineStr">
        <is>
          <t>After-Tax Gain / Base Capital</t>
        </is>
      </c>
      <c r="E30" s="31" t="n"/>
      <c r="F30" s="31" t="n"/>
      <c r="G30" s="31" t="n"/>
      <c r="H30" s="31" t="n"/>
      <c r="I30" s="31" t="n"/>
    </row>
    <row r="31"/>
    <row r="32">
      <c r="A32" s="25">
        <f>'Year Summary'!A5</f>
        <v/>
      </c>
      <c r="B32" s="26">
        <f>'Year Summary'!B5</f>
        <v/>
      </c>
      <c r="C32" s="26">
        <f>'Year Summary'!D5</f>
        <v/>
      </c>
      <c r="D32" s="26">
        <f>'Year Summary'!E5</f>
        <v/>
      </c>
      <c r="E32" s="26">
        <f>'Year Summary'!F5</f>
        <v/>
      </c>
      <c r="F32" s="26">
        <f>'Year Summary'!F5+'Year Summary'!G5</f>
        <v/>
      </c>
      <c r="G32" s="26">
        <f>F32-'Tax Impact'!F5</f>
        <v/>
      </c>
      <c r="H32" s="27">
        <f>C39</f>
        <v/>
      </c>
      <c r="I32" s="27">
        <f>C40</f>
        <v/>
      </c>
    </row>
    <row r="33">
      <c r="A33" s="28" t="inlineStr"/>
      <c r="B33" s="29" t="inlineStr">
        <is>
          <t>Beginning Stock Value</t>
        </is>
      </c>
      <c r="C33" s="30">
        <f>'Year Summary'!F4</f>
        <v/>
      </c>
      <c r="D33" s="31" t="n"/>
      <c r="E33" s="31" t="n"/>
      <c r="F33" s="31" t="n"/>
      <c r="G33" s="31" t="n"/>
      <c r="H33" s="31" t="n"/>
      <c r="I33" s="31" t="n"/>
    </row>
    <row r="34">
      <c r="A34" s="28" t="inlineStr"/>
      <c r="B34" s="29" t="inlineStr">
        <is>
          <t>Stock Gain</t>
        </is>
      </c>
      <c r="C34" s="30">
        <f>E32-C33-B32</f>
        <v/>
      </c>
      <c r="D34" s="32" t="inlineStr">
        <is>
          <t>End Stock Value - Beginning - Invested</t>
        </is>
      </c>
      <c r="E34" s="31" t="n"/>
      <c r="F34" s="31" t="n"/>
      <c r="G34" s="31" t="n"/>
      <c r="H34" s="31" t="n"/>
      <c r="I34" s="31" t="n"/>
    </row>
    <row r="35">
      <c r="A35" s="28" t="inlineStr"/>
      <c r="B35" s="29" t="inlineStr">
        <is>
          <t>Avg Invested Capital</t>
        </is>
      </c>
      <c r="C35" s="30">
        <f>B32*0.542</f>
        <v/>
      </c>
      <c r="D35" s="32" t="inlineStr">
        <is>
          <t>Invested x 0.542 (DCA mid-year)</t>
        </is>
      </c>
      <c r="E35" s="31" t="n"/>
      <c r="F35" s="31" t="n"/>
      <c r="G35" s="31" t="n"/>
      <c r="H35" s="31" t="n"/>
      <c r="I35" s="31" t="n"/>
    </row>
    <row r="36">
      <c r="A36" s="28" t="inlineStr"/>
      <c r="B36" s="29" t="inlineStr">
        <is>
          <t>Base Capital (Denominator)</t>
        </is>
      </c>
      <c r="C36" s="30">
        <f>C33+C35</f>
        <v/>
      </c>
      <c r="D36" s="32" t="inlineStr">
        <is>
          <t>Beginning Stock Value + Avg Invested</t>
        </is>
      </c>
      <c r="E36" s="31" t="n"/>
      <c r="F36" s="31" t="n"/>
      <c r="G36" s="31" t="n"/>
      <c r="H36" s="31" t="n"/>
      <c r="I36" s="31" t="n"/>
    </row>
    <row r="37">
      <c r="A37" s="28" t="inlineStr"/>
      <c r="B37" s="29" t="inlineStr">
        <is>
          <t>Total Gain (Numerator)</t>
        </is>
      </c>
      <c r="C37" s="30">
        <f>C34+C32+D32</f>
        <v/>
      </c>
      <c r="D37" s="32" t="inlineStr">
        <is>
          <t>Stock Gain + Dividends + MM Interest</t>
        </is>
      </c>
      <c r="E37" s="31" t="n"/>
      <c r="F37" s="31" t="n"/>
      <c r="G37" s="31" t="n"/>
      <c r="H37" s="31" t="n"/>
      <c r="I37" s="31" t="n"/>
    </row>
    <row r="38">
      <c r="A38" s="28" t="inlineStr"/>
      <c r="B38" s="29" t="inlineStr">
        <is>
          <t>After-Tax Gain</t>
        </is>
      </c>
      <c r="C38" s="30">
        <f>C34+(C32-'Tax Impact'!C5)+(D32-'Tax Impact'!E5)</f>
        <v/>
      </c>
      <c r="D38" s="32" t="inlineStr">
        <is>
          <t>Stock Gain + (Divs-Tax) + (MMInt-Tax)</t>
        </is>
      </c>
      <c r="E38" s="31" t="n"/>
      <c r="F38" s="31" t="n"/>
      <c r="G38" s="31" t="n"/>
      <c r="H38" s="31" t="n"/>
      <c r="I38" s="31" t="n"/>
    </row>
    <row r="39">
      <c r="A39" s="28" t="inlineStr"/>
      <c r="B39" s="29" t="inlineStr">
        <is>
          <t>Pre-Tax Return</t>
        </is>
      </c>
      <c r="C39" s="33">
        <f>IF(C36&gt;0,C37/C36,0)</f>
        <v/>
      </c>
      <c r="D39" s="32" t="inlineStr">
        <is>
          <t>Total Gain / Base Capital</t>
        </is>
      </c>
      <c r="E39" s="31" t="n"/>
      <c r="F39" s="31" t="n"/>
      <c r="G39" s="31" t="n"/>
      <c r="H39" s="31" t="n"/>
      <c r="I39" s="31" t="n"/>
    </row>
    <row r="40">
      <c r="A40" s="28" t="inlineStr"/>
      <c r="B40" s="29" t="inlineStr">
        <is>
          <t>After-Tax Return</t>
        </is>
      </c>
      <c r="C40" s="33">
        <f>IF(C36&gt;0,C38/C36,0)</f>
        <v/>
      </c>
      <c r="D40" s="32" t="inlineStr">
        <is>
          <t>After-Tax Gain / Base Capital</t>
        </is>
      </c>
      <c r="E40" s="31" t="n"/>
      <c r="F40" s="31" t="n"/>
      <c r="G40" s="31" t="n"/>
      <c r="H40" s="31" t="n"/>
      <c r="I40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2026-02-15T15:15:45Z</dcterms:created>
  <dcterms:modified xsi:type="dcterms:W3CDTF">2026-02-15T15:15:46Z</dcterms:modified>
</cp:coreProperties>
</file>